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7b6fe1d167f5b132/Documents/"/>
    </mc:Choice>
  </mc:AlternateContent>
  <xr:revisionPtr revIDLastSave="0" documentId="8_{FE3E5DFA-AB17-4156-BC6A-4506D144D51E}" xr6:coauthVersionLast="47" xr6:coauthVersionMax="47" xr10:uidLastSave="{00000000-0000-0000-0000-000000000000}"/>
  <bookViews>
    <workbookView xWindow="-108" yWindow="-108" windowWidth="23256" windowHeight="12456" firstSheet="1" activeTab="2" xr2:uid="{ECB7D999-C41B-4684-8236-8AFED1507776}"/>
  </bookViews>
  <sheets>
    <sheet name="Sheet5" sheetId="5" r:id="rId1"/>
    <sheet name="PIVOTE REPORT" sheetId="1" r:id="rId2"/>
    <sheet name="DASHBOARD" sheetId="2" r:id="rId3"/>
    <sheet name="Satisfaction score  chart" sheetId="6" r:id="rId4"/>
    <sheet name="ER ROOM NO OF PATIENT" sheetId="3" r:id="rId5"/>
    <sheet name="AVG WAITTIME CHART" sheetId="4" r:id="rId6"/>
  </sheets>
  <definedNames>
    <definedName name="ExternalData_1" localSheetId="0" hidden="1">Sheet5!$A$3:$M$35</definedName>
    <definedName name="Slicer_date__Month">#N/A</definedName>
    <definedName name="Slicer_date__Year">#N/A</definedName>
  </definedNames>
  <calcPr calcId="191029"/>
  <pivotCaches>
    <pivotCache cacheId="93" r:id="rId7"/>
    <pivotCache cacheId="96" r:id="rId8"/>
    <pivotCache cacheId="99" r:id="rId9"/>
    <pivotCache cacheId="102" r:id="rId10"/>
    <pivotCache cacheId="105" r:id="rId11"/>
    <pivotCache cacheId="108" r:id="rId12"/>
    <pivotCache cacheId="111" r:id="rId13"/>
    <pivotCache cacheId="114" r:id="rId14"/>
    <pivotCache cacheId="117" r:id="rId15"/>
    <pivotCache cacheId="120" r:id="rId16"/>
    <pivotCache cacheId="123" r:id="rId17"/>
    <pivotCache cacheId="126"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fcf14b5-53d9-4c54-9117-fabbf0db7ebc" name="Hospital Emergency Room Data" connection="Query - Hospital Emergency Room Data"/>
          <x15:modelTable id="calendar_table_1bcb2775-bc50-4546-98b6-170cef8da3e6"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4" i="1" l="1"/>
  <c r="E54" i="1"/>
  <c r="F54" i="1"/>
  <c r="E55" i="1"/>
  <c r="F55" i="1"/>
  <c r="D5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6F8862-6ADF-44F1-A697-68B8997DD5CC}" keepAlive="1" name="ModelConnection_ExternalData_1" description="Data Model" type="5" refreshedVersion="8" minRefreshableVersion="5" saveData="1">
    <dbPr connection="Data Model Connection" command="DRILLTHROUGH MAXROWS 1000 SELECT FROM [Model] WHERE (([calendar_table].[date (Month)].&amp;[Jul],[Measures].[Average of Patient Waittime],[calendar_table].[date (Day)].&amp;[1-Jul]))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C74AA472-43AE-4083-8369-4D7BEA695E35}" name="Query - calendar_table" description="Connection to the 'calendar_table' query in the workbook." type="100" refreshedVersion="8" minRefreshableVersion="5">
    <extLst>
      <ext xmlns:x15="http://schemas.microsoft.com/office/spreadsheetml/2010/11/main" uri="{DE250136-89BD-433C-8126-D09CA5730AF9}">
        <x15:connection id="54c408f5-f067-4eea-b5b4-5378b35f0f72"/>
      </ext>
    </extLst>
  </connection>
  <connection id="3" xr16:uid="{021CC775-08B4-4FA0-B5EF-11F9A718E33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76cd6c8-f47b-4828-a9b6-cb386e978fda"/>
      </ext>
    </extLst>
  </connection>
  <connection id="4" xr16:uid="{A2D30471-7786-4254-9A16-4B9BF80B277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<sst xmlns="http://schemas.openxmlformats.org/spreadsheetml/2006/main" count="423" uniqueCount="157">
  <si>
    <t>Distinct Count of Patient Id</t>
  </si>
  <si>
    <t>NO OF PATIENT</t>
  </si>
  <si>
    <t>PATIENT WAITTIME</t>
  </si>
  <si>
    <t>Average of Patient Waittime</t>
  </si>
  <si>
    <t>Average of Patient Satisfaction Score</t>
  </si>
  <si>
    <t>Row Labels</t>
  </si>
  <si>
    <t>Grand Total</t>
  </si>
  <si>
    <t>Showing a daily trend with an area sparkline to spot patterns like busy days or seasonal trends.</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</si>
  <si>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</si>
  <si>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</si>
  <si>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</si>
  <si>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</si>
  <si>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</si>
  <si>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</si>
  <si>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</si>
  <si>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</si>
  <si>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</si>
  <si>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</si>
  <si>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</si>
  <si>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</si>
  <si>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</si>
  <si>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500-12-4114</t>
  </si>
  <si>
    <t>E. Connal</t>
  </si>
  <si>
    <t>Male</t>
  </si>
  <si>
    <t>White</t>
  </si>
  <si>
    <t>None</t>
  </si>
  <si>
    <t>Admited</t>
  </si>
  <si>
    <t>50-59</t>
  </si>
  <si>
    <t>Ontime</t>
  </si>
  <si>
    <t>346-84-5825</t>
  </si>
  <si>
    <t>B. McGann</t>
  </si>
  <si>
    <t>Female</t>
  </si>
  <si>
    <t>Not admited</t>
  </si>
  <si>
    <t>40-49</t>
  </si>
  <si>
    <t>Delay</t>
  </si>
  <si>
    <t>778-65-4673</t>
  </si>
  <si>
    <t>G. Summerly</t>
  </si>
  <si>
    <t>10-19</t>
  </si>
  <si>
    <t>428-71-5740</t>
  </si>
  <si>
    <t>F. Braisher</t>
  </si>
  <si>
    <t>70-79</t>
  </si>
  <si>
    <t>788-50-6371</t>
  </si>
  <si>
    <t>I. Abrahart</t>
  </si>
  <si>
    <t>0-09</t>
  </si>
  <si>
    <t>733-04-5324</t>
  </si>
  <si>
    <t>J. Pickervance</t>
  </si>
  <si>
    <t>20-29</t>
  </si>
  <si>
    <t>458-48-8079</t>
  </si>
  <si>
    <t>P. Mendes</t>
  </si>
  <si>
    <t>African American</t>
  </si>
  <si>
    <t>322-87-0204</t>
  </si>
  <si>
    <t>N. Androletti</t>
  </si>
  <si>
    <t>30-39</t>
  </si>
  <si>
    <t>497-70-2885</t>
  </si>
  <si>
    <t>Y. Drain</t>
  </si>
  <si>
    <t>394-17-4256</t>
  </si>
  <si>
    <t>F. Giannassi</t>
  </si>
  <si>
    <t>Two or More Races</t>
  </si>
  <si>
    <t>541-38-5588</t>
  </si>
  <si>
    <t>Q. Gorbell</t>
  </si>
  <si>
    <t>545-41-0302</t>
  </si>
  <si>
    <t>S. Jills</t>
  </si>
  <si>
    <t>593-21-1380</t>
  </si>
  <si>
    <t>L. Crawshay</t>
  </si>
  <si>
    <t>640-43-6147</t>
  </si>
  <si>
    <t>P. Merwood</t>
  </si>
  <si>
    <t>342-72-7611</t>
  </si>
  <si>
    <t>M. Yeats</t>
  </si>
  <si>
    <t>Declined to Identify</t>
  </si>
  <si>
    <t>545-31-9630</t>
  </si>
  <si>
    <t>W. Pendlebery</t>
  </si>
  <si>
    <t>Pacific Islander</t>
  </si>
  <si>
    <t>374-34-0979</t>
  </si>
  <si>
    <t>N. Bodman</t>
  </si>
  <si>
    <t>Native American/Alaska Native</t>
  </si>
  <si>
    <t>General Practice</t>
  </si>
  <si>
    <t>870-30-5356</t>
  </si>
  <si>
    <t>Z. Kelston</t>
  </si>
  <si>
    <t>308-72-6633</t>
  </si>
  <si>
    <t>E. Tregidga</t>
  </si>
  <si>
    <t>419-56-9936</t>
  </si>
  <si>
    <t>G. Troutbeck</t>
  </si>
  <si>
    <t>Asian</t>
  </si>
  <si>
    <t>531-97-4128</t>
  </si>
  <si>
    <t>H. Bullier</t>
  </si>
  <si>
    <t>610-81-3745</t>
  </si>
  <si>
    <t>G. Hing</t>
  </si>
  <si>
    <t>Orthopedics</t>
  </si>
  <si>
    <t>187-33-8018</t>
  </si>
  <si>
    <t>T. Reeks</t>
  </si>
  <si>
    <t>Neurology</t>
  </si>
  <si>
    <t>854-45-3713</t>
  </si>
  <si>
    <t>B. Riggulsford</t>
  </si>
  <si>
    <t>447-24-8349</t>
  </si>
  <si>
    <t>W. De Vuyst</t>
  </si>
  <si>
    <t>220-85-4256</t>
  </si>
  <si>
    <t>O. Cuerda</t>
  </si>
  <si>
    <t>453-29-3036</t>
  </si>
  <si>
    <t>N. Tebbe</t>
  </si>
  <si>
    <t>584-75-1706</t>
  </si>
  <si>
    <t>U. Zohrer</t>
  </si>
  <si>
    <t>229-94-6883</t>
  </si>
  <si>
    <t>K. Sibly</t>
  </si>
  <si>
    <t>581-94-1985</t>
  </si>
  <si>
    <t>W. Hatherley</t>
  </si>
  <si>
    <t>219-41-5143</t>
  </si>
  <si>
    <t>F. Priver</t>
  </si>
  <si>
    <t>895-09-2744</t>
  </si>
  <si>
    <t>J. Wickens</t>
  </si>
  <si>
    <t>Data returned for Average of Patient Waittime, 1-Jul, Jul (First 1000 rows).</t>
  </si>
  <si>
    <t>Use an area Chart to show trends, spot drops in satisfaction, and link them to busy times or challenges.</t>
  </si>
  <si>
    <t>Count of Patient Admission Flag</t>
  </si>
  <si>
    <t>Count of Patient Admission Flag2</t>
  </si>
  <si>
    <t>% status</t>
  </si>
  <si>
    <t>Admission status</t>
  </si>
  <si>
    <t>patient</t>
  </si>
  <si>
    <t>60-69</t>
  </si>
  <si>
    <t>Count of Age Group</t>
  </si>
  <si>
    <t>Count of Patient attend Status</t>
  </si>
  <si>
    <t>Count of Patient Gender</t>
  </si>
  <si>
    <t>Cardiology</t>
  </si>
  <si>
    <t>Gastroenterology</t>
  </si>
  <si>
    <t>Physiotherapy</t>
  </si>
  <si>
    <t>Renal</t>
  </si>
  <si>
    <t>Count of Department Referral</t>
  </si>
  <si>
    <t>2024</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</si>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</sst>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theme="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4"/>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4" borderId="0" xfId="0" applyFill="1"/>
    <xf numFmtId="0" fontId="0" fillId="5" borderId="0" xfId="0" applyFill="1"/>
    <xf numFmtId="14" fontId="0" fillId="0" borderId="0" xfId="0" applyNumberFormat="1"/>
    <xf numFmtId="21" fontId="0" fillId="0" borderId="0" xfId="0" applyNumberFormat="1"/>
    <xf numFmtId="0" fontId="2" fillId="0" borderId="0" xfId="0" applyFont="1"/>
    <xf numFmtId="0" fontId="0" fillId="6" borderId="0" xfId="0" applyFill="1"/>
    <xf numFmtId="10" fontId="0" fillId="0" borderId="0" xfId="0" applyNumberFormat="1"/>
    <xf numFmtId="10" fontId="0" fillId="0" borderId="0" xfId="1" applyNumberFormat="1" applyFont="1"/>
    <xf numFmtId="0" fontId="0" fillId="7" borderId="0" xfId="0" applyFill="1"/>
    <xf numFmtId="0" fontId="2" fillId="7" borderId="0" xfId="0" applyFont="1" applyFill="1"/>
    <xf numFmtId="0" fontId="0" fillId="0" borderId="0" xfId="0" applyNumberFormat="1"/>
  </cellXfs>
  <cellStyles count="2">
    <cellStyle name="Normal" xfId="0" builtinId="0"/>
    <cellStyle name="Percent" xfId="1" builtinId="5"/>
  </cellStyles>
  <dxfs count="3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6" formatCode="hh:mm:ss"/>
    </dxf>
    <dxf>
      <numFmt numFmtId="19" formatCode="dd/mm/yyyy"/>
    </dxf>
    <dxf>
      <font>
        <b/>
        <color theme="1"/>
      </font>
      <border>
        <bottom style="thin">
          <color theme="9"/>
        </bottom>
        <vertical/>
        <horizontal/>
      </border>
    </dxf>
    <dxf>
      <font>
        <sz val="8"/>
        <color theme="1"/>
      </font>
      <fill>
        <patternFill>
          <bgColor theme="0"/>
        </patternFill>
      </fill>
      <border diagonalUp="0" diagonalDown="0">
        <left/>
        <right/>
        <top/>
        <bottom/>
        <vertical/>
        <horizontal/>
      </border>
    </dxf>
    <dxf>
      <font>
        <b/>
        <color theme="1"/>
      </font>
      <border>
        <bottom style="thin">
          <color theme="7"/>
        </bottom>
        <vertical/>
        <horizontal/>
      </border>
    </dxf>
    <dxf>
      <font>
        <sz val="8"/>
        <color theme="1"/>
      </font>
      <fill>
        <patternFill>
          <bgColor theme="0"/>
        </patternFill>
      </fill>
      <border diagonalUp="0" diagonalDown="0">
        <left/>
        <right/>
        <top/>
        <bottom/>
        <vertical/>
        <horizontal/>
      </border>
    </dxf>
    <dxf>
      <font>
        <sz val="8"/>
      </font>
      <fill>
        <patternFill>
          <fgColor theme="7" tint="0.39994506668294322"/>
          <bgColor theme="0"/>
        </patternFill>
      </fill>
    </dxf>
  </dxfs>
  <tableStyles count="3" defaultTableStyle="TableStyleMedium2" defaultPivotStyle="PivotStyleLight16">
    <tableStyle name="MYSTYLE" pivot="0" table="0" count="1" xr9:uid="{D5131AC3-09DF-4646-AB5C-F0A740738562}">
      <tableStyleElement type="wholeTable" dxfId="30"/>
    </tableStyle>
    <tableStyle name="MYSTYLE2" pivot="0" table="0" count="10" xr9:uid="{2475183D-624B-4BDC-AB0B-EE73222C01AB}">
      <tableStyleElement type="wholeTable" dxfId="29"/>
      <tableStyleElement type="headerRow" dxfId="28"/>
    </tableStyle>
    <tableStyle name="SlicerStyleDark6 2" pivot="0" table="0" count="10" xr9:uid="{5EB2386D-A660-4A4F-945D-23C92A194D6B}">
      <tableStyleElement type="wholeTable" dxfId="27"/>
      <tableStyleElement type="headerRow" dxfId="26"/>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 name="MYSTYLE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[final_project.xlsx]PIVOTE REPORT!PivotTable4</c:name>
    <c:fmtId val="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15102919858199043"/>
          <c:w val="0.93888888888888888"/>
          <c:h val="0.83386788155981051"/>
        </c:manualLayout>
      </c:layout>
      <c:areaChart>
        <c:grouping val="standard"/>
        <c:varyColors val="0"/>
        <c:ser>
          <c:idx val="0"/>
          <c:order val="0"/>
          <c:tx>
            <c:strRef>
              <c:f>'PIVOTE REPORT'!$E$8</c:f>
              <c:strCache>
                <c:ptCount val="1"/>
                <c:pt idx="0">
                  <c:v>Total</c:v>
                </c:pt>
              </c:strCache>
            </c:strRef>
          </c:tx>
          <c:spPr>
            <a:solidFill>
              <a:schemeClr val="accent1"/>
            </a:solidFill>
            <a:ln w="25400">
              <a:noFill/>
            </a:ln>
            <a:effectLst/>
          </c:spPr>
          <c:cat>
            <c:strRef>
              <c:f>'PIVOTE REPORT'!$D$9:$D$40</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'PIVOTE REPORT'!$E$9:$E$40</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6-4BCB-4809-B28A-D86D11BF2B45}"/>
            </c:ext>
          </c:extLst>
        </c:ser>
        <c:dLbls>
          <c:showLegendKey val="0"/>
          <c:showVal val="0"/>
          <c:showCatName val="0"/>
          <c:showSerName val="0"/>
          <c:showPercent val="0"/>
          <c:showBubbleSize val="0"/>
        </c:dLbls>
        <c:axId val="198778799"/>
        <c:axId val="198776879"/>
      </c:areaChart>
      <c:catAx>
        <c:axId val="198778799"/>
        <c:scaling>
          <c:orientation val="minMax"/>
        </c:scaling>
        <c:delete val="1"/>
        <c:axPos val="b"/>
        <c:numFmt formatCode="General" sourceLinked="1"/>
        <c:majorTickMark val="out"/>
        <c:minorTickMark val="none"/>
        <c:tickLblPos val="nextTo"/>
        <c:crossAx val="198776879"/>
        <c:crosses val="autoZero"/>
        <c:auto val="1"/>
        <c:lblAlgn val="ctr"/>
        <c:lblOffset val="100"/>
        <c:noMultiLvlLbl val="0"/>
      </c:catAx>
      <c:valAx>
        <c:axId val="198776879"/>
        <c:scaling>
          <c:orientation val="minMax"/>
        </c:scaling>
        <c:delete val="1"/>
        <c:axPos val="l"/>
        <c:numFmt formatCode="General" sourceLinked="1"/>
        <c:majorTickMark val="none"/>
        <c:minorTickMark val="none"/>
        <c:tickLblPos val="nextTo"/>
        <c:crossAx val="198778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[final_project.xlsx]PIVOTE REPORT!PivotTable4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REPORT'!$E$8</c:f>
              <c:strCache>
                <c:ptCount val="1"/>
                <c:pt idx="0">
                  <c:v>Total</c:v>
                </c:pt>
              </c:strCache>
            </c:strRef>
          </c:tx>
          <c:spPr>
            <a:solidFill>
              <a:schemeClr val="accent1"/>
            </a:solidFill>
            <a:ln w="25400">
              <a:noFill/>
            </a:ln>
            <a:effectLst/>
          </c:spPr>
          <c:cat>
            <c:strRef>
              <c:f>'PIVOTE REPORT'!$D$9:$D$40</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'PIVOTE REPORT'!$E$9:$E$40</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6-9FAC-45CC-895E-C4CFEA7BC9EC}"/>
            </c:ext>
          </c:extLst>
        </c:ser>
        <c:dLbls>
          <c:showLegendKey val="0"/>
          <c:showVal val="0"/>
          <c:showCatName val="0"/>
          <c:showSerName val="0"/>
          <c:showPercent val="0"/>
          <c:showBubbleSize val="0"/>
        </c:dLbls>
        <c:axId val="369030319"/>
        <c:axId val="369033679"/>
      </c:areaChart>
      <c:catAx>
        <c:axId val="369030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033679"/>
        <c:crosses val="autoZero"/>
        <c:auto val="1"/>
        <c:lblAlgn val="ctr"/>
        <c:lblOffset val="100"/>
        <c:noMultiLvlLbl val="0"/>
      </c:catAx>
      <c:valAx>
        <c:axId val="36903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0303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[final_project.xlsx]PIVOTE REPORT!PivotTable5</c:name>
    <c:fmtId val="19"/>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0884647926596"/>
          <c:y val="0"/>
          <c:w val="0.86591153520734043"/>
          <c:h val="0.72359348258361944"/>
        </c:manualLayout>
      </c:layout>
      <c:areaChart>
        <c:grouping val="standard"/>
        <c:varyColors val="0"/>
        <c:ser>
          <c:idx val="0"/>
          <c:order val="0"/>
          <c:tx>
            <c:strRef>
              <c:f>'PIVOTE REPORT'!$I$9</c:f>
              <c:strCache>
                <c:ptCount val="1"/>
                <c:pt idx="0">
                  <c:v>Total</c:v>
                </c:pt>
              </c:strCache>
            </c:strRef>
          </c:tx>
          <c:spPr>
            <a:solidFill>
              <a:schemeClr val="accent1"/>
            </a:solidFill>
            <a:ln w="25400">
              <a:noFill/>
            </a:ln>
            <a:effectLst/>
          </c:spPr>
          <c:cat>
            <c:strRef>
              <c:f>'PIVOTE REPORT'!$H$10:$H$41</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'PIVOTE REPORT'!$I$10:$I$41</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6-5BD0-49D0-B9B2-E3D66F0A61C9}"/>
            </c:ext>
          </c:extLst>
        </c:ser>
        <c:dLbls>
          <c:showLegendKey val="0"/>
          <c:showVal val="0"/>
          <c:showCatName val="0"/>
          <c:showSerName val="0"/>
          <c:showPercent val="0"/>
          <c:showBubbleSize val="0"/>
        </c:dLbls>
        <c:axId val="589309200"/>
        <c:axId val="589311600"/>
      </c:areaChart>
      <c:catAx>
        <c:axId val="589309200"/>
        <c:scaling>
          <c:orientation val="minMax"/>
        </c:scaling>
        <c:delete val="1"/>
        <c:axPos val="b"/>
        <c:numFmt formatCode="General" sourceLinked="1"/>
        <c:majorTickMark val="out"/>
        <c:minorTickMark val="none"/>
        <c:tickLblPos val="nextTo"/>
        <c:crossAx val="589311600"/>
        <c:crosses val="autoZero"/>
        <c:auto val="1"/>
        <c:lblAlgn val="ctr"/>
        <c:lblOffset val="100"/>
        <c:noMultiLvlLbl val="0"/>
      </c:catAx>
      <c:valAx>
        <c:axId val="589311600"/>
        <c:scaling>
          <c:orientation val="minMax"/>
        </c:scaling>
        <c:delete val="1"/>
        <c:axPos val="l"/>
        <c:numFmt formatCode="0.00" sourceLinked="1"/>
        <c:majorTickMark val="none"/>
        <c:minorTickMark val="none"/>
        <c:tickLblPos val="nextTo"/>
        <c:crossAx val="5893092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[final_project.xlsx]PIVOTE REPORT!PivotTable5</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REPORT'!$I$9</c:f>
              <c:strCache>
                <c:ptCount val="1"/>
                <c:pt idx="0">
                  <c:v>Total</c:v>
                </c:pt>
              </c:strCache>
            </c:strRef>
          </c:tx>
          <c:spPr>
            <a:solidFill>
              <a:schemeClr val="accent1"/>
            </a:solidFill>
            <a:ln w="25400">
              <a:noFill/>
            </a:ln>
            <a:effectLst/>
          </c:spPr>
          <c:cat>
            <c:strRef>
              <c:f>'PIVOTE REPORT'!$H$10:$H$41</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'PIVOTE REPORT'!$I$10:$I$41</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6-8DA2-4749-9BD9-7FD5C9FD2ACE}"/>
            </c:ext>
          </c:extLst>
        </c:ser>
        <c:dLbls>
          <c:showLegendKey val="0"/>
          <c:showVal val="0"/>
          <c:showCatName val="0"/>
          <c:showSerName val="0"/>
          <c:showPercent val="0"/>
          <c:showBubbleSize val="0"/>
        </c:dLbls>
        <c:axId val="413004191"/>
        <c:axId val="413011871"/>
      </c:areaChart>
      <c:catAx>
        <c:axId val="413004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011871"/>
        <c:crosses val="autoZero"/>
        <c:auto val="1"/>
        <c:lblAlgn val="ctr"/>
        <c:lblOffset val="100"/>
        <c:noMultiLvlLbl val="0"/>
      </c:catAx>
      <c:valAx>
        <c:axId val="4130118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0041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[final_project.xlsx]PIVOTE REPORT!PivotTable6</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REPORT'!$M$9</c:f>
              <c:strCache>
                <c:ptCount val="1"/>
                <c:pt idx="0">
                  <c:v>Total</c:v>
                </c:pt>
              </c:strCache>
            </c:strRef>
          </c:tx>
          <c:spPr>
            <a:solidFill>
              <a:schemeClr val="accent1"/>
            </a:solidFill>
            <a:ln w="25400">
              <a:noFill/>
            </a:ln>
            <a:effectLst/>
          </c:spPr>
          <c:cat>
            <c:strRef>
              <c:f>'PIVOTE REPORT'!$L$10:$L$41</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'PIVOTE REPORT'!$M$10:$M$41</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6-910D-413D-A109-8AC6DC73CADA}"/>
            </c:ext>
          </c:extLst>
        </c:ser>
        <c:dLbls>
          <c:showLegendKey val="0"/>
          <c:showVal val="0"/>
          <c:showCatName val="0"/>
          <c:showSerName val="0"/>
          <c:showPercent val="0"/>
          <c:showBubbleSize val="0"/>
        </c:dLbls>
        <c:axId val="1272829568"/>
        <c:axId val="1272826688"/>
      </c:areaChart>
      <c:catAx>
        <c:axId val="1272829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826688"/>
        <c:crosses val="autoZero"/>
        <c:auto val="1"/>
        <c:lblAlgn val="ctr"/>
        <c:lblOffset val="100"/>
        <c:noMultiLvlLbl val="0"/>
      </c:catAx>
      <c:valAx>
        <c:axId val="12728266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829568"/>
        <c:crosses val="autoZero"/>
        <c:crossBetween val="midCat"/>
      </c:valAx>
      <c:spPr>
        <a:noFill/>
        <a:ln>
          <a:noFill/>
        </a:ln>
        <a:effectLst/>
      </c:spPr>
    </c:plotArea>
    <c:legend>
      <c:legendPos val="r"/>
      <c:layout>
        <c:manualLayout>
          <c:xMode val="edge"/>
          <c:yMode val="edge"/>
          <c:x val="8.6639844423550029E-3"/>
          <c:y val="0.93184802186950866"/>
          <c:w val="0.12404777423177238"/>
          <c:h val="6.815210855685123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[final_project.xlsx]PIVOTE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8.5637334680509767E-4"/>
          <c:y val="8.0732069518459071E-4"/>
          <c:w val="0.80115101183969373"/>
          <c:h val="0.89887543255726077"/>
        </c:manualLayout>
      </c:layout>
      <c:barChart>
        <c:barDir val="bar"/>
        <c:grouping val="clustered"/>
        <c:varyColors val="0"/>
        <c:ser>
          <c:idx val="0"/>
          <c:order val="0"/>
          <c:tx>
            <c:strRef>
              <c:f>'PIVOTE REPORT'!$E$44</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'PIVOTE REPORT'!$D$45:$D$47</c:f>
              <c:strCache>
                <c:ptCount val="2"/>
                <c:pt idx="0">
                  <c:v>Admited</c:v>
                </c:pt>
                <c:pt idx="1">
                  <c:v>Not admited</c:v>
                </c:pt>
              </c:strCache>
            </c:strRef>
          </c:cat>
          <c:val>
            <c:numRef>
              <c:f>'PIVOTE REPORT'!$E$45:$E$47</c:f>
              <c:numCache>
                <c:formatCode>General</c:formatCode>
                <c:ptCount val="2"/>
                <c:pt idx="0">
                  <c:v>253</c:v>
                </c:pt>
                <c:pt idx="1">
                  <c:v>253</c:v>
                </c:pt>
              </c:numCache>
            </c:numRef>
          </c:val>
          <c:extLst>
            <c:ext xmlns:c16="http://schemas.microsoft.com/office/drawing/2014/chart" uri="{C3380CC4-5D6E-409C-BE32-E72D297353CC}">
              <c16:uniqueId val="{0000000D-A6E9-4671-809B-783F525EC1BD}"/>
            </c:ext>
          </c:extLst>
        </c:ser>
        <c:ser>
          <c:idx val="1"/>
          <c:order val="1"/>
          <c:tx>
            <c:strRef>
              <c:f>'PIVOTE REPORT'!$F$44</c:f>
              <c:strCache>
                <c:ptCount val="1"/>
                <c:pt idx="0">
                  <c:v>Count of Patient Admission Flag2</c:v>
                </c:pt>
              </c:strCache>
            </c:strRef>
          </c:tx>
          <c:spPr>
            <a:solidFill>
              <a:schemeClr val="accent2"/>
            </a:solidFill>
            <a:ln>
              <a:noFill/>
            </a:ln>
            <a:effectLst/>
          </c:spPr>
          <c:invertIfNegative val="0"/>
          <c:cat>
            <c:strRef>
              <c:f>'PIVOTE REPORT'!$D$45:$D$47</c:f>
              <c:strCache>
                <c:ptCount val="2"/>
                <c:pt idx="0">
                  <c:v>Admited</c:v>
                </c:pt>
                <c:pt idx="1">
                  <c:v>Not admited</c:v>
                </c:pt>
              </c:strCache>
            </c:strRef>
          </c:cat>
          <c:val>
            <c:numRef>
              <c:f>'PIVOTE REPORT'!$F$45:$F$47</c:f>
              <c:numCache>
                <c:formatCode>0.00%</c:formatCode>
                <c:ptCount val="2"/>
                <c:pt idx="0">
                  <c:v>0.5</c:v>
                </c:pt>
                <c:pt idx="1">
                  <c:v>0.5</c:v>
                </c:pt>
              </c:numCache>
            </c:numRef>
          </c:val>
          <c:extLst>
            <c:ext xmlns:c16="http://schemas.microsoft.com/office/drawing/2014/chart" uri="{C3380CC4-5D6E-409C-BE32-E72D297353CC}">
              <c16:uniqueId val="{0000000E-A6E9-4671-809B-783F525EC1BD}"/>
            </c:ext>
          </c:extLst>
        </c:ser>
        <c:dLbls>
          <c:showLegendKey val="0"/>
          <c:showVal val="0"/>
          <c:showCatName val="0"/>
          <c:showSerName val="0"/>
          <c:showPercent val="0"/>
          <c:showBubbleSize val="0"/>
        </c:dLbls>
        <c:gapWidth val="0"/>
        <c:overlap val="-14"/>
        <c:axId val="1344903872"/>
        <c:axId val="295411887"/>
      </c:barChart>
      <c:catAx>
        <c:axId val="1344903872"/>
        <c:scaling>
          <c:orientation val="minMax"/>
        </c:scaling>
        <c:delete val="1"/>
        <c:axPos val="l"/>
        <c:numFmt formatCode="General" sourceLinked="1"/>
        <c:majorTickMark val="none"/>
        <c:minorTickMark val="none"/>
        <c:tickLblPos val="nextTo"/>
        <c:crossAx val="295411887"/>
        <c:crosses val="autoZero"/>
        <c:auto val="1"/>
        <c:lblAlgn val="ctr"/>
        <c:lblOffset val="100"/>
        <c:noMultiLvlLbl val="0"/>
      </c:catAx>
      <c:valAx>
        <c:axId val="295411887"/>
        <c:scaling>
          <c:orientation val="minMax"/>
        </c:scaling>
        <c:delete val="1"/>
        <c:axPos val="b"/>
        <c:numFmt formatCode="General" sourceLinked="1"/>
        <c:majorTickMark val="none"/>
        <c:minorTickMark val="none"/>
        <c:tickLblPos val="nextTo"/>
        <c:crossAx val="134490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[final_project.xlsx]PIVOTE REPORT!PivotTable4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0932487488508E-2"/>
          <c:y val="0.23087368777514392"/>
          <c:w val="0.72777777777777775"/>
          <c:h val="0.75462962962962965"/>
        </c:manualLayout>
      </c:layout>
      <c:areaChart>
        <c:grouping val="standard"/>
        <c:varyColors val="0"/>
        <c:ser>
          <c:idx val="0"/>
          <c:order val="0"/>
          <c:tx>
            <c:strRef>
              <c:f>'PIVOTE REPORT'!$E$8</c:f>
              <c:strCache>
                <c:ptCount val="1"/>
                <c:pt idx="0">
                  <c:v>Total</c:v>
                </c:pt>
              </c:strCache>
            </c:strRef>
          </c:tx>
          <c:spPr>
            <a:solidFill>
              <a:schemeClr val="accent1"/>
            </a:solidFill>
            <a:ln w="25400">
              <a:noFill/>
            </a:ln>
            <a:effectLst/>
          </c:spPr>
          <c:cat>
            <c:strRef>
              <c:f>'PIVOTE REPORT'!$D$9:$D$40</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'PIVOTE REPORT'!$E$9:$E$40</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6-3EBA-4C71-9981-97BB7EBA98B3}"/>
            </c:ext>
          </c:extLst>
        </c:ser>
        <c:dLbls>
          <c:showLegendKey val="0"/>
          <c:showVal val="0"/>
          <c:showCatName val="0"/>
          <c:showSerName val="0"/>
          <c:showPercent val="0"/>
          <c:showBubbleSize val="0"/>
        </c:dLbls>
        <c:axId val="198778799"/>
        <c:axId val="198776879"/>
      </c:areaChart>
      <c:catAx>
        <c:axId val="198778799"/>
        <c:scaling>
          <c:orientation val="minMax"/>
        </c:scaling>
        <c:delete val="1"/>
        <c:axPos val="b"/>
        <c:numFmt formatCode="General" sourceLinked="1"/>
        <c:majorTickMark val="out"/>
        <c:minorTickMark val="none"/>
        <c:tickLblPos val="nextTo"/>
        <c:crossAx val="198776879"/>
        <c:crosses val="autoZero"/>
        <c:auto val="1"/>
        <c:lblAlgn val="ctr"/>
        <c:lblOffset val="100"/>
        <c:noMultiLvlLbl val="0"/>
      </c:catAx>
      <c:valAx>
        <c:axId val="198776879"/>
        <c:scaling>
          <c:orientation val="minMax"/>
        </c:scaling>
        <c:delete val="1"/>
        <c:axPos val="l"/>
        <c:numFmt formatCode="General" sourceLinked="1"/>
        <c:majorTickMark val="none"/>
        <c:minorTickMark val="none"/>
        <c:tickLblPos val="nextTo"/>
        <c:crossAx val="198778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[final_project.xlsx]PIVOTE REPORT!PivotTable5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0967161767733E-2"/>
          <c:y val="9.8926907036836209E-2"/>
          <c:w val="0.56336414696042492"/>
          <c:h val="0.65083086052128336"/>
        </c:manualLayout>
      </c:layout>
      <c:areaChart>
        <c:grouping val="standard"/>
        <c:varyColors val="0"/>
        <c:ser>
          <c:idx val="0"/>
          <c:order val="0"/>
          <c:tx>
            <c:strRef>
              <c:f>'PIVOTE REPORT'!$I$9</c:f>
              <c:strCache>
                <c:ptCount val="1"/>
                <c:pt idx="0">
                  <c:v>Total</c:v>
                </c:pt>
              </c:strCache>
            </c:strRef>
          </c:tx>
          <c:spPr>
            <a:solidFill>
              <a:schemeClr val="accent1"/>
            </a:solidFill>
            <a:ln w="25400">
              <a:noFill/>
            </a:ln>
            <a:effectLst/>
          </c:spPr>
          <c:cat>
            <c:strRef>
              <c:f>'PIVOTE REPORT'!$H$10:$H$41</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'PIVOTE REPORT'!$I$10:$I$41</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6-936F-4193-869B-BFAF27FC6632}"/>
            </c:ext>
          </c:extLst>
        </c:ser>
        <c:dLbls>
          <c:showLegendKey val="0"/>
          <c:showVal val="0"/>
          <c:showCatName val="0"/>
          <c:showSerName val="0"/>
          <c:showPercent val="0"/>
          <c:showBubbleSize val="0"/>
        </c:dLbls>
        <c:axId val="589309200"/>
        <c:axId val="589311600"/>
      </c:areaChart>
      <c:catAx>
        <c:axId val="589309200"/>
        <c:scaling>
          <c:orientation val="minMax"/>
        </c:scaling>
        <c:delete val="1"/>
        <c:axPos val="b"/>
        <c:numFmt formatCode="General" sourceLinked="1"/>
        <c:majorTickMark val="out"/>
        <c:minorTickMark val="none"/>
        <c:tickLblPos val="nextTo"/>
        <c:crossAx val="589311600"/>
        <c:crosses val="autoZero"/>
        <c:auto val="1"/>
        <c:lblAlgn val="ctr"/>
        <c:lblOffset val="100"/>
        <c:noMultiLvlLbl val="0"/>
      </c:catAx>
      <c:valAx>
        <c:axId val="589311600"/>
        <c:scaling>
          <c:orientation val="minMax"/>
        </c:scaling>
        <c:delete val="1"/>
        <c:axPos val="l"/>
        <c:numFmt formatCode="0.00" sourceLinked="1"/>
        <c:majorTickMark val="none"/>
        <c:minorTickMark val="none"/>
        <c:tickLblPos val="nextTo"/>
        <c:crossAx val="5893092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[final_project.xlsx]PIVOTE REPORT!PivotTable6</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375844388377962E-3"/>
          <c:y val="1.4346294702263552E-2"/>
          <c:w val="0.95719868405234665"/>
          <c:h val="0.78561025878698687"/>
        </c:manualLayout>
      </c:layout>
      <c:areaChart>
        <c:grouping val="standard"/>
        <c:varyColors val="0"/>
        <c:ser>
          <c:idx val="0"/>
          <c:order val="0"/>
          <c:tx>
            <c:strRef>
              <c:f>'PIVOTE REPORT'!$M$9</c:f>
              <c:strCache>
                <c:ptCount val="1"/>
                <c:pt idx="0">
                  <c:v>Total</c:v>
                </c:pt>
              </c:strCache>
            </c:strRef>
          </c:tx>
          <c:spPr>
            <a:solidFill>
              <a:schemeClr val="accent1"/>
            </a:solidFill>
            <a:ln w="25400">
              <a:noFill/>
            </a:ln>
            <a:effectLst/>
          </c:spPr>
          <c:cat>
            <c:strRef>
              <c:f>'PIVOTE REPORT'!$L$10:$L$41</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'PIVOTE REPORT'!$M$10:$M$41</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6-EE09-41A7-9D7C-A090BBC6115E}"/>
            </c:ext>
          </c:extLst>
        </c:ser>
        <c:dLbls>
          <c:showLegendKey val="0"/>
          <c:showVal val="0"/>
          <c:showCatName val="0"/>
          <c:showSerName val="0"/>
          <c:showPercent val="0"/>
          <c:showBubbleSize val="0"/>
        </c:dLbls>
        <c:axId val="190846671"/>
        <c:axId val="190845711"/>
      </c:areaChart>
      <c:catAx>
        <c:axId val="190846671"/>
        <c:scaling>
          <c:orientation val="minMax"/>
        </c:scaling>
        <c:delete val="1"/>
        <c:axPos val="b"/>
        <c:numFmt formatCode="General" sourceLinked="1"/>
        <c:majorTickMark val="out"/>
        <c:minorTickMark val="none"/>
        <c:tickLblPos val="nextTo"/>
        <c:crossAx val="190845711"/>
        <c:crosses val="autoZero"/>
        <c:auto val="1"/>
        <c:lblAlgn val="ctr"/>
        <c:lblOffset val="100"/>
        <c:noMultiLvlLbl val="0"/>
      </c:catAx>
      <c:valAx>
        <c:axId val="190845711"/>
        <c:scaling>
          <c:orientation val="minMax"/>
        </c:scaling>
        <c:delete val="1"/>
        <c:axPos val="l"/>
        <c:numFmt formatCode="0.00" sourceLinked="1"/>
        <c:majorTickMark val="none"/>
        <c:minorTickMark val="none"/>
        <c:tickLblPos val="nextTo"/>
        <c:crossAx val="1908466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[final_project.xlsx]PIVOTE REPORT!PivotTable8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6980664202151118E-3"/>
          <c:w val="0.93892770692993477"/>
          <c:h val="0.84304075603299511"/>
        </c:manualLayout>
      </c:layout>
      <c:barChart>
        <c:barDir val="col"/>
        <c:grouping val="clustered"/>
        <c:varyColors val="0"/>
        <c:ser>
          <c:idx val="0"/>
          <c:order val="0"/>
          <c:tx>
            <c:strRef>
              <c:f>'PIVOTE REPORT'!$H$61</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A8DE-4A69-93D5-8410C96208C4}"/>
              </c:ext>
            </c:extLst>
          </c:dPt>
          <c:dPt>
            <c:idx val="1"/>
            <c:invertIfNegative val="0"/>
            <c:bubble3D val="0"/>
            <c:extLst>
              <c:ext xmlns:c16="http://schemas.microsoft.com/office/drawing/2014/chart" uri="{C3380CC4-5D6E-409C-BE32-E72D297353CC}">
                <c16:uniqueId val="{00000001-A8DE-4A69-93D5-8410C96208C4}"/>
              </c:ext>
            </c:extLst>
          </c:dPt>
          <c:dPt>
            <c:idx val="2"/>
            <c:invertIfNegative val="0"/>
            <c:bubble3D val="0"/>
            <c:extLst>
              <c:ext xmlns:c16="http://schemas.microsoft.com/office/drawing/2014/chart" uri="{C3380CC4-5D6E-409C-BE32-E72D297353CC}">
                <c16:uniqueId val="{00000002-A8DE-4A69-93D5-8410C96208C4}"/>
              </c:ext>
            </c:extLst>
          </c:dPt>
          <c:dPt>
            <c:idx val="3"/>
            <c:invertIfNegative val="0"/>
            <c:bubble3D val="0"/>
            <c:extLst>
              <c:ext xmlns:c16="http://schemas.microsoft.com/office/drawing/2014/chart" uri="{C3380CC4-5D6E-409C-BE32-E72D297353CC}">
                <c16:uniqueId val="{00000003-A8DE-4A69-93D5-8410C96208C4}"/>
              </c:ext>
            </c:extLst>
          </c:dPt>
          <c:dPt>
            <c:idx val="4"/>
            <c:invertIfNegative val="0"/>
            <c:bubble3D val="0"/>
            <c:extLst>
              <c:ext xmlns:c16="http://schemas.microsoft.com/office/drawing/2014/chart" uri="{C3380CC4-5D6E-409C-BE32-E72D297353CC}">
                <c16:uniqueId val="{00000004-A8DE-4A69-93D5-8410C96208C4}"/>
              </c:ext>
            </c:extLst>
          </c:dPt>
          <c:dPt>
            <c:idx val="5"/>
            <c:invertIfNegative val="0"/>
            <c:bubble3D val="0"/>
            <c:extLst>
              <c:ext xmlns:c16="http://schemas.microsoft.com/office/drawing/2014/chart" uri="{C3380CC4-5D6E-409C-BE32-E72D297353CC}">
                <c16:uniqueId val="{00000005-A8DE-4A69-93D5-8410C96208C4}"/>
              </c:ext>
            </c:extLst>
          </c:dPt>
          <c:dPt>
            <c:idx val="6"/>
            <c:invertIfNegative val="0"/>
            <c:bubble3D val="0"/>
            <c:extLst>
              <c:ext xmlns:c16="http://schemas.microsoft.com/office/drawing/2014/chart" uri="{C3380CC4-5D6E-409C-BE32-E72D297353CC}">
                <c16:uniqueId val="{00000006-A8DE-4A69-93D5-8410C96208C4}"/>
              </c:ext>
            </c:extLst>
          </c:dPt>
          <c:dPt>
            <c:idx val="7"/>
            <c:invertIfNegative val="0"/>
            <c:bubble3D val="0"/>
            <c:extLst>
              <c:ext xmlns:c16="http://schemas.microsoft.com/office/drawing/2014/chart" uri="{C3380CC4-5D6E-409C-BE32-E72D297353CC}">
                <c16:uniqueId val="{00000007-A8DE-4A69-93D5-8410C96208C4}"/>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8DE-4A69-93D5-8410C96208C4}"/>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DE-4A69-93D5-8410C96208C4}"/>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8DE-4A69-93D5-8410C96208C4}"/>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DE-4A69-93D5-8410C96208C4}"/>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8DE-4A69-93D5-8410C96208C4}"/>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DE-4A69-93D5-8410C96208C4}"/>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8DE-4A69-93D5-8410C96208C4}"/>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8DE-4A69-93D5-8410C96208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REPORT'!$G$62:$G$70</c:f>
              <c:strCache>
                <c:ptCount val="8"/>
                <c:pt idx="0">
                  <c:v>0-09</c:v>
                </c:pt>
                <c:pt idx="1">
                  <c:v>10-19</c:v>
                </c:pt>
                <c:pt idx="2">
                  <c:v>20-29</c:v>
                </c:pt>
                <c:pt idx="3">
                  <c:v>30-39</c:v>
                </c:pt>
                <c:pt idx="4">
                  <c:v>40-49</c:v>
                </c:pt>
                <c:pt idx="5">
                  <c:v>50-59</c:v>
                </c:pt>
                <c:pt idx="6">
                  <c:v>60-69</c:v>
                </c:pt>
                <c:pt idx="7">
                  <c:v>70-79</c:v>
                </c:pt>
              </c:strCache>
            </c:strRef>
          </c:cat>
          <c:val>
            <c:numRef>
              <c:f>'PIVOTE REPORT'!$H$62:$H$70</c:f>
              <c:numCache>
                <c:formatCode>General</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E-632F-44AC-86DD-DB4545B41A42}"/>
            </c:ext>
          </c:extLst>
        </c:ser>
        <c:dLbls>
          <c:showLegendKey val="0"/>
          <c:showVal val="0"/>
          <c:showCatName val="0"/>
          <c:showSerName val="0"/>
          <c:showPercent val="0"/>
          <c:showBubbleSize val="0"/>
        </c:dLbls>
        <c:gapWidth val="219"/>
        <c:overlap val="-27"/>
        <c:axId val="1462367824"/>
        <c:axId val="1462368304"/>
      </c:barChart>
      <c:catAx>
        <c:axId val="146236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368304"/>
        <c:crosses val="autoZero"/>
        <c:auto val="1"/>
        <c:lblAlgn val="ctr"/>
        <c:lblOffset val="100"/>
        <c:noMultiLvlLbl val="0"/>
      </c:catAx>
      <c:valAx>
        <c:axId val="1462368304"/>
        <c:scaling>
          <c:orientation val="minMax"/>
        </c:scaling>
        <c:delete val="1"/>
        <c:axPos val="l"/>
        <c:numFmt formatCode="General" sourceLinked="1"/>
        <c:majorTickMark val="none"/>
        <c:minorTickMark val="none"/>
        <c:tickLblPos val="nextTo"/>
        <c:crossAx val="146236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[final_project.xlsx]PIVOTE REPORT!PivotTable9</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39507939682780535"/>
          <c:y val="0.35380059643060341"/>
          <c:w val="0.45072767972436223"/>
          <c:h val="0.53499106536586516"/>
        </c:manualLayout>
      </c:layout>
      <c:pieChart>
        <c:varyColors val="1"/>
        <c:ser>
          <c:idx val="0"/>
          <c:order val="0"/>
          <c:tx>
            <c:strRef>
              <c:f>'PIVOTE REPORT'!$K$60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41-408E-B1F1-ECC400F8C7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41-408E-B1F1-ECC400F8C7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REPORT'!$J$61:$J$63</c:f>
              <c:strCache>
                <c:ptCount val="2"/>
                <c:pt idx="0">
                  <c:v>Delay</c:v>
                </c:pt>
                <c:pt idx="1">
                  <c:v>Ontime</c:v>
                </c:pt>
              </c:strCache>
            </c:strRef>
          </c:cat>
          <c:val>
            <c:numRef>
              <c:f>'PIVOTE REPORT'!$K$61:$K$63</c:f>
              <c:numCache>
                <c:formatCode>General</c:formatCode>
                <c:ptCount val="2"/>
                <c:pt idx="0">
                  <c:v>312</c:v>
                </c:pt>
                <c:pt idx="1">
                  <c:v>194</c:v>
                </c:pt>
              </c:numCache>
            </c:numRef>
          </c:val>
          <c:extLst>
            <c:ext xmlns:c16="http://schemas.microsoft.com/office/drawing/2014/chart" uri="{C3380CC4-5D6E-409C-BE32-E72D297353CC}">
              <c16:uniqueId val="{0000000A-C81C-4CB4-B979-FC0E588A773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30886289663640593"/>
          <c:y val="0.14219600035753724"/>
          <c:w val="0.68370474081941846"/>
          <c:h val="0.31929685407188724"/>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[final_project.xlsx]PIVOTE REPORT!PivotTable10</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179024790956334"/>
          <c:y val="0.2637383896249616"/>
          <c:w val="0.45746189173677015"/>
          <c:h val="0.4540960653493934"/>
        </c:manualLayout>
      </c:layout>
      <c:doughnutChart>
        <c:varyColors val="1"/>
        <c:ser>
          <c:idx val="0"/>
          <c:order val="0"/>
          <c:tx>
            <c:strRef>
              <c:f>'PIVOTE REPORT'!$K$67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29B-4E3B-93B7-17A2CCABE01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29B-4E3B-93B7-17A2CCABE01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REPORT'!$J$68:$J$70</c:f>
              <c:strCache>
                <c:ptCount val="2"/>
                <c:pt idx="0">
                  <c:v>Female</c:v>
                </c:pt>
                <c:pt idx="1">
                  <c:v>Male</c:v>
                </c:pt>
              </c:strCache>
            </c:strRef>
          </c:cat>
          <c:val>
            <c:numRef>
              <c:f>'PIVOTE REPORT'!$K$68:$K$70</c:f>
              <c:numCache>
                <c:formatCode>General</c:formatCode>
                <c:ptCount val="2"/>
                <c:pt idx="0">
                  <c:v>231</c:v>
                </c:pt>
                <c:pt idx="1">
                  <c:v>275</c:v>
                </c:pt>
              </c:numCache>
            </c:numRef>
          </c:val>
          <c:extLst>
            <c:ext xmlns:c16="http://schemas.microsoft.com/office/drawing/2014/chart" uri="{C3380CC4-5D6E-409C-BE32-E72D297353CC}">
              <c16:uniqueId val="{0000000A-D0F3-434C-A94C-12CA22DB4CD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
          <c:y val="6.9460552059306428E-3"/>
          <c:w val="0.78526297824053837"/>
          <c:h val="0.417983221303074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[final_project.xlsx]PIVOTE REPORT!PivotTable11</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744446655425576"/>
          <c:y val="7.0194458825375922E-2"/>
          <c:w val="0.43766686861100845"/>
          <c:h val="0.88013892559175511"/>
        </c:manualLayout>
      </c:layout>
      <c:barChart>
        <c:barDir val="bar"/>
        <c:grouping val="clustered"/>
        <c:varyColors val="0"/>
        <c:ser>
          <c:idx val="0"/>
          <c:order val="0"/>
          <c:tx>
            <c:strRef>
              <c:f>'PIVOTE REPORT'!$K$74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REPORT'!$J$75:$J$83</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'PIVOTE REPORT'!$K$75:$K$83</c:f>
              <c:numCache>
                <c:formatCode>General</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6-9C61-4FC7-8E45-D7ED5CACD225}"/>
            </c:ext>
          </c:extLst>
        </c:ser>
        <c:dLbls>
          <c:showLegendKey val="0"/>
          <c:showVal val="0"/>
          <c:showCatName val="0"/>
          <c:showSerName val="0"/>
          <c:showPercent val="0"/>
          <c:showBubbleSize val="0"/>
        </c:dLbls>
        <c:gapWidth val="24"/>
        <c:axId val="375549199"/>
        <c:axId val="375549679"/>
      </c:barChart>
      <c:catAx>
        <c:axId val="37554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549679"/>
        <c:crosses val="autoZero"/>
        <c:auto val="1"/>
        <c:lblAlgn val="ctr"/>
        <c:lblOffset val="100"/>
        <c:noMultiLvlLbl val="0"/>
      </c:catAx>
      <c:valAx>
        <c:axId val="375549679"/>
        <c:scaling>
          <c:orientation val="minMax"/>
        </c:scaling>
        <c:delete val="1"/>
        <c:axPos val="b"/>
        <c:numFmt formatCode="General" sourceLinked="1"/>
        <c:majorTickMark val="none"/>
        <c:minorTickMark val="none"/>
        <c:tickLblPos val="nextTo"/>
        <c:crossAx val="37554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[final_project.xlsx]PIVOTE REPORT!PivotTable6</c:name>
    <c:fmtId val="35"/>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REPORT'!$M$9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'PIVOTE REPORT'!$L$10:$L$41</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'PIVOTE REPORT'!$M$10:$M$41</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6-CDF3-453A-A86A-309E0FBCB31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72829568"/>
        <c:axId val="1272826688"/>
      </c:areaChart>
      <c:catAx>
        <c:axId val="12728295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72826688"/>
        <c:crosses val="autoZero"/>
        <c:auto val="1"/>
        <c:lblAlgn val="ctr"/>
        <c:lblOffset val="100"/>
        <c:noMultiLvlLbl val="0"/>
      </c:catAx>
      <c:valAx>
        <c:axId val="1272826688"/>
        <c:scaling>
          <c:orientation val="minMax"/>
        </c:scaling>
        <c:delete val="1"/>
        <c:axPos val="l"/>
        <c:numFmt formatCode="0.00" sourceLinked="1"/>
        <c:majorTickMark val="out"/>
        <c:minorTickMark val="none"/>
        <c:tickLblPos val="nextTo"/>
        <c:crossAx val="12728295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[final_project.xlsx]PIVOTE REPORT!PivotTable4</c:name>
    <c:fmtId val="1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REPORT'!$E$8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'PIVOTE REPORT'!$D$9:$D$40</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'PIVOTE REPORT'!$E$9:$E$40</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5-7FEB-4384-B41C-FBD85BF5F13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69030319"/>
        <c:axId val="369033679"/>
      </c:areaChart>
      <c:catAx>
        <c:axId val="36903031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69033679"/>
        <c:crosses val="autoZero"/>
        <c:auto val="1"/>
        <c:lblAlgn val="ctr"/>
        <c:lblOffset val="100"/>
        <c:noMultiLvlLbl val="0"/>
      </c:catAx>
      <c:valAx>
        <c:axId val="369033679"/>
        <c:scaling>
          <c:orientation val="minMax"/>
        </c:scaling>
        <c:delete val="1"/>
        <c:axPos val="l"/>
        <c:numFmt formatCode="General" sourceLinked="1"/>
        <c:majorTickMark val="out"/>
        <c:minorTickMark val="none"/>
        <c:tickLblPos val="nextTo"/>
        <c:crossAx val="3690303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[final_project.xlsx]PIVOTE REPORT!PivotTable5</c:name>
    <c:fmtId val="2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644626479195696E-2"/>
          <c:y val="0.2534172503584981"/>
          <c:w val="0.89648158711303727"/>
          <c:h val="0.66776027996500442"/>
        </c:manualLayout>
      </c:layout>
      <c:areaChart>
        <c:grouping val="standard"/>
        <c:varyColors val="0"/>
        <c:ser>
          <c:idx val="0"/>
          <c:order val="0"/>
          <c:tx>
            <c:strRef>
              <c:f>'PIVOTE REPORT'!$I$9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'PIVOTE REPORT'!$H$10:$H$41</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'PIVOTE REPORT'!$I$10:$I$41</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5-A71B-42AA-911C-CA7DF87A208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13004191"/>
        <c:axId val="413011871"/>
      </c:areaChart>
      <c:catAx>
        <c:axId val="41300419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13011871"/>
        <c:crosses val="autoZero"/>
        <c:auto val="1"/>
        <c:lblAlgn val="ctr"/>
        <c:lblOffset val="100"/>
        <c:noMultiLvlLbl val="0"/>
      </c:catAx>
      <c:valAx>
        <c:axId val="413011871"/>
        <c:scaling>
          <c:orientation val="minMax"/>
        </c:scaling>
        <c:delete val="1"/>
        <c:axPos val="l"/>
        <c:numFmt formatCode="0.00" sourceLinked="1"/>
        <c:majorTickMark val="out"/>
        <c:minorTickMark val="none"/>
        <c:tickLblPos val="nextTo"/>
        <c:crossAx val="4130041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ER ROOM NO OF PATIENT'!A1"/><Relationship Id="rId13" Type="http://schemas.openxmlformats.org/officeDocument/2006/relationships/chart" Target="../charts/chart9.xml"/><Relationship Id="rId18" Type="http://schemas.openxmlformats.org/officeDocument/2006/relationships/chart" Target="../charts/chart13.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chart'!A1"/><Relationship Id="rId17" Type="http://schemas.openxmlformats.org/officeDocument/2006/relationships/chart" Target="../charts/chart12.xml"/><Relationship Id="rId2" Type="http://schemas.openxmlformats.org/officeDocument/2006/relationships/image" Target="../media/image2.png"/><Relationship Id="rId16"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svg"/><Relationship Id="rId15" Type="http://schemas.openxmlformats.org/officeDocument/2006/relationships/chart" Target="../charts/chart10.xml"/><Relationship Id="rId10" Type="http://schemas.openxmlformats.org/officeDocument/2006/relationships/hyperlink" Target="#'AVG WAITTIME CHART'!A1"/><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0</xdr:col>
      <xdr:colOff>54911</xdr:colOff>
      <xdr:row>25</xdr:row>
      <xdr:rowOff>71391</xdr:rowOff>
    </xdr:from>
    <xdr:to>
      <xdr:col>1</xdr:col>
      <xdr:colOff>247508</xdr:colOff>
      <xdr:row>38</xdr:row>
      <xdr:rowOff>171106</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FEDDF026-C5BF-D254-A7EC-11F8C3AC5F7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4911" y="4539910"/>
              <a:ext cx="1829486" cy="2423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13487</xdr:colOff>
      <xdr:row>0</xdr:row>
      <xdr:rowOff>0</xdr:rowOff>
    </xdr:from>
    <xdr:to>
      <xdr:col>3</xdr:col>
      <xdr:colOff>155097</xdr:colOff>
      <xdr:row>1</xdr:row>
      <xdr:rowOff>168584</xdr:rowOff>
    </xdr:to>
    <xdr:graphicFrame macro="">
      <xdr:nvGraphicFramePr>
        <xdr:cNvPr id="3" name="Chart 2">
          <a:extLst>
            <a:ext uri="{FF2B5EF4-FFF2-40B4-BE49-F238E27FC236}">
              <a16:creationId xmlns:a16="http://schemas.microsoft.com/office/drawing/2014/main" id="{1132BD77-A0C6-0B89-D7DD-C45267252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53</xdr:row>
      <xdr:rowOff>114979</xdr:rowOff>
    </xdr:from>
    <xdr:to>
      <xdr:col>2</xdr:col>
      <xdr:colOff>185058</xdr:colOff>
      <xdr:row>64</xdr:row>
      <xdr:rowOff>50243</xdr:rowOff>
    </xdr:to>
    <xdr:graphicFrame macro="">
      <xdr:nvGraphicFramePr>
        <xdr:cNvPr id="4" name="Chart 3">
          <a:extLst>
            <a:ext uri="{FF2B5EF4-FFF2-40B4-BE49-F238E27FC236}">
              <a16:creationId xmlns:a16="http://schemas.microsoft.com/office/drawing/2014/main" id="{387EB40E-5AF2-1ACB-EBF7-E97E40B95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262992</xdr:colOff>
      <xdr:row>0</xdr:row>
      <xdr:rowOff>0</xdr:rowOff>
    </xdr:from>
    <xdr:to>
      <xdr:col>4</xdr:col>
      <xdr:colOff>121381</xdr:colOff>
      <xdr:row>2</xdr:row>
      <xdr:rowOff>161840</xdr:rowOff>
    </xdr:to>
    <xdr:graphicFrame macro="">
      <xdr:nvGraphicFramePr>
        <xdr:cNvPr id="5" name="Chart 4">
          <a:extLst>
            <a:ext uri="{FF2B5EF4-FFF2-40B4-BE49-F238E27FC236}">
              <a16:creationId xmlns:a16="http://schemas.microsoft.com/office/drawing/2014/main" id="{FDAE8EAF-BCE4-2732-6EE4-3B72014FF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13363</xdr:colOff>
      <xdr:row>41</xdr:row>
      <xdr:rowOff>174254</xdr:rowOff>
    </xdr:from>
    <xdr:to>
      <xdr:col>2</xdr:col>
      <xdr:colOff>283096</xdr:colOff>
      <xdr:row>52</xdr:row>
      <xdr:rowOff>75126</xdr:rowOff>
    </xdr:to>
    <xdr:graphicFrame macro="">
      <xdr:nvGraphicFramePr>
        <xdr:cNvPr id="6" name="Chart 5">
          <a:extLst>
            <a:ext uri="{FF2B5EF4-FFF2-40B4-BE49-F238E27FC236}">
              <a16:creationId xmlns:a16="http://schemas.microsoft.com/office/drawing/2014/main" id="{D7C08706-DF33-9B9A-5F9F-0E6B76BFC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65</xdr:row>
      <xdr:rowOff>115009</xdr:rowOff>
    </xdr:from>
    <xdr:to>
      <xdr:col>3</xdr:col>
      <xdr:colOff>825680</xdr:colOff>
      <xdr:row>80</xdr:row>
      <xdr:rowOff>51660</xdr:rowOff>
    </xdr:to>
    <xdr:graphicFrame macro="">
      <xdr:nvGraphicFramePr>
        <xdr:cNvPr id="9" name="Chart 8">
          <a:extLst>
            <a:ext uri="{FF2B5EF4-FFF2-40B4-BE49-F238E27FC236}">
              <a16:creationId xmlns:a16="http://schemas.microsoft.com/office/drawing/2014/main" id="{ADD06915-4B51-7419-8B8F-B836AFA46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62883</xdr:colOff>
      <xdr:row>52</xdr:row>
      <xdr:rowOff>159058</xdr:rowOff>
    </xdr:from>
    <xdr:to>
      <xdr:col>6</xdr:col>
      <xdr:colOff>1657165</xdr:colOff>
      <xdr:row>55</xdr:row>
      <xdr:rowOff>11097</xdr:rowOff>
    </xdr:to>
    <xdr:graphicFrame macro="">
      <xdr:nvGraphicFramePr>
        <xdr:cNvPr id="10" name="Chart 9">
          <a:extLst>
            <a:ext uri="{FF2B5EF4-FFF2-40B4-BE49-F238E27FC236}">
              <a16:creationId xmlns:a16="http://schemas.microsoft.com/office/drawing/2014/main" id="{98FD815E-CCDE-C4B0-2938-D420F4723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291952</xdr:colOff>
      <xdr:row>0</xdr:row>
      <xdr:rowOff>157976</xdr:rowOff>
    </xdr:from>
    <xdr:to>
      <xdr:col>5</xdr:col>
      <xdr:colOff>241610</xdr:colOff>
      <xdr:row>3</xdr:row>
      <xdr:rowOff>165532</xdr:rowOff>
    </xdr:to>
    <xdr:sp macro="" textlink="">
      <xdr:nvSpPr>
        <xdr:cNvPr id="2" name="Rectangle: Rounded Corners 1">
          <a:extLst>
            <a:ext uri="{FF2B5EF4-FFF2-40B4-BE49-F238E27FC236}">
              <a16:creationId xmlns:a16="http://schemas.microsoft.com/office/drawing/2014/main" id="{380129C3-2D68-44AA-CF5D-2BD0E5D6EF4C}"/>
            </a:ext>
          </a:extLst>
        </xdr:cNvPr>
        <xdr:cNvSpPr/>
      </xdr:nvSpPr>
      <xdr:spPr>
        <a:xfrm>
          <a:off x="291952" y="157976"/>
          <a:ext cx="3016243" cy="565117"/>
        </a:xfrm>
        <a:prstGeom prst="roundRect">
          <a:avLst>
            <a:gd name="adj" fmla="val 16667"/>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t"/>
        <a:lstStyle/>
        <a:p>
          <a:pPr algn="l"/>
          <a:endParaRPr lang="en-IN" sz="1100"/>
        </a:p>
      </xdr:txBody>
    </xdr:sp>
    <xdr:clientData/>
  </xdr:twoCellAnchor>
  <xdr:twoCellAnchor editAs="absolute">
    <xdr:from>
      <xdr:col>5</xdr:col>
      <xdr:colOff>302762</xdr:colOff>
      <xdr:row>1</xdr:row>
      <xdr:rowOff>3695</xdr:rowOff>
    </xdr:from>
    <xdr:to>
      <xdr:col>7</xdr:col>
      <xdr:colOff>499408</xdr:colOff>
      <xdr:row>3</xdr:row>
      <xdr:rowOff>99420</xdr:rowOff>
    </xdr:to>
    <xdr:sp macro="" textlink="">
      <xdr:nvSpPr>
        <xdr:cNvPr id="3" name="Rectangle: Rounded Corners 2">
          <a:extLst>
            <a:ext uri="{FF2B5EF4-FFF2-40B4-BE49-F238E27FC236}">
              <a16:creationId xmlns:a16="http://schemas.microsoft.com/office/drawing/2014/main" id="{216B8816-DE12-083E-46A1-4F80C4472774}"/>
            </a:ext>
          </a:extLst>
        </xdr:cNvPr>
        <xdr:cNvSpPr/>
      </xdr:nvSpPr>
      <xdr:spPr>
        <a:xfrm>
          <a:off x="3369347" y="189549"/>
          <a:ext cx="1423281" cy="46743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593253</xdr:colOff>
      <xdr:row>1</xdr:row>
      <xdr:rowOff>54744</xdr:rowOff>
    </xdr:from>
    <xdr:to>
      <xdr:col>10</xdr:col>
      <xdr:colOff>219039</xdr:colOff>
      <xdr:row>9</xdr:row>
      <xdr:rowOff>65105</xdr:rowOff>
    </xdr:to>
    <xdr:sp macro="" textlink="">
      <xdr:nvSpPr>
        <xdr:cNvPr id="4" name="Rectangle: Rounded Corners 3">
          <a:extLst>
            <a:ext uri="{FF2B5EF4-FFF2-40B4-BE49-F238E27FC236}">
              <a16:creationId xmlns:a16="http://schemas.microsoft.com/office/drawing/2014/main" id="{B87DD946-3937-548C-18CB-0DC79F3B5FE9}"/>
            </a:ext>
          </a:extLst>
        </xdr:cNvPr>
        <xdr:cNvSpPr/>
      </xdr:nvSpPr>
      <xdr:spPr>
        <a:xfrm>
          <a:off x="4874967" y="236173"/>
          <a:ext cx="1460807" cy="146178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10</xdr:col>
      <xdr:colOff>248092</xdr:colOff>
      <xdr:row>1</xdr:row>
      <xdr:rowOff>29593</xdr:rowOff>
    </xdr:from>
    <xdr:to>
      <xdr:col>12</xdr:col>
      <xdr:colOff>561162</xdr:colOff>
      <xdr:row>9</xdr:row>
      <xdr:rowOff>92833</xdr:rowOff>
    </xdr:to>
    <xdr:sp macro="" textlink="">
      <xdr:nvSpPr>
        <xdr:cNvPr id="5" name="Rectangle: Rounded Corners 4">
          <a:extLst>
            <a:ext uri="{FF2B5EF4-FFF2-40B4-BE49-F238E27FC236}">
              <a16:creationId xmlns:a16="http://schemas.microsoft.com/office/drawing/2014/main" id="{FD93FB11-64F1-BED4-D0A5-00177A2D1016}"/>
            </a:ext>
          </a:extLst>
        </xdr:cNvPr>
        <xdr:cNvSpPr/>
      </xdr:nvSpPr>
      <xdr:spPr>
        <a:xfrm>
          <a:off x="6314500" y="214544"/>
          <a:ext cx="1526351" cy="154285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205409</xdr:colOff>
      <xdr:row>4</xdr:row>
      <xdr:rowOff>38693</xdr:rowOff>
    </xdr:from>
    <xdr:to>
      <xdr:col>1</xdr:col>
      <xdr:colOff>594264</xdr:colOff>
      <xdr:row>22</xdr:row>
      <xdr:rowOff>125834</xdr:rowOff>
    </xdr:to>
    <xdr:sp macro="" textlink="">
      <xdr:nvSpPr>
        <xdr:cNvPr id="6" name="Rectangle: Rounded Corners 5">
          <a:extLst>
            <a:ext uri="{FF2B5EF4-FFF2-40B4-BE49-F238E27FC236}">
              <a16:creationId xmlns:a16="http://schemas.microsoft.com/office/drawing/2014/main" id="{0BBE91D6-36E8-EA84-AF1F-84A90278F65E}"/>
            </a:ext>
          </a:extLst>
        </xdr:cNvPr>
        <xdr:cNvSpPr/>
      </xdr:nvSpPr>
      <xdr:spPr>
        <a:xfrm>
          <a:off x="205409" y="780815"/>
          <a:ext cx="998455" cy="342668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53163</xdr:colOff>
      <xdr:row>4</xdr:row>
      <xdr:rowOff>11816</xdr:rowOff>
    </xdr:from>
    <xdr:to>
      <xdr:col>3</xdr:col>
      <xdr:colOff>561163</xdr:colOff>
      <xdr:row>9</xdr:row>
      <xdr:rowOff>127575</xdr:rowOff>
    </xdr:to>
    <xdr:sp macro="" textlink="">
      <xdr:nvSpPr>
        <xdr:cNvPr id="7" name="Rectangle: Rounded Corners 6">
          <a:extLst>
            <a:ext uri="{FF2B5EF4-FFF2-40B4-BE49-F238E27FC236}">
              <a16:creationId xmlns:a16="http://schemas.microsoft.com/office/drawing/2014/main" id="{91D3382C-D141-6E4D-B5FF-7005F294A136}"/>
            </a:ext>
          </a:extLst>
        </xdr:cNvPr>
        <xdr:cNvSpPr/>
      </xdr:nvSpPr>
      <xdr:spPr>
        <a:xfrm>
          <a:off x="1273742" y="742784"/>
          <a:ext cx="1118290" cy="1029470"/>
        </a:xfrm>
        <a:prstGeom prst="roundRect">
          <a:avLst>
            <a:gd name="adj" fmla="val 155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4</xdr:col>
      <xdr:colOff>17721</xdr:colOff>
      <xdr:row>3</xdr:row>
      <xdr:rowOff>177210</xdr:rowOff>
    </xdr:from>
    <xdr:to>
      <xdr:col>5</xdr:col>
      <xdr:colOff>513907</xdr:colOff>
      <xdr:row>9</xdr:row>
      <xdr:rowOff>118140</xdr:rowOff>
    </xdr:to>
    <xdr:sp macro="" textlink="">
      <xdr:nvSpPr>
        <xdr:cNvPr id="8" name="Rectangle: Rounded Corners 7">
          <a:extLst>
            <a:ext uri="{FF2B5EF4-FFF2-40B4-BE49-F238E27FC236}">
              <a16:creationId xmlns:a16="http://schemas.microsoft.com/office/drawing/2014/main" id="{31D19F5E-950E-2379-844B-8B1AC5824308}"/>
            </a:ext>
          </a:extLst>
        </xdr:cNvPr>
        <xdr:cNvSpPr/>
      </xdr:nvSpPr>
      <xdr:spPr>
        <a:xfrm>
          <a:off x="2456121" y="725850"/>
          <a:ext cx="1105786" cy="1038210"/>
        </a:xfrm>
        <a:prstGeom prst="roundRect">
          <a:avLst>
            <a:gd name="adj" fmla="val 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5</xdr:col>
      <xdr:colOff>574023</xdr:colOff>
      <xdr:row>3</xdr:row>
      <xdr:rowOff>178894</xdr:rowOff>
    </xdr:from>
    <xdr:to>
      <xdr:col>7</xdr:col>
      <xdr:colOff>526768</xdr:colOff>
      <xdr:row>9</xdr:row>
      <xdr:rowOff>119824</xdr:rowOff>
    </xdr:to>
    <xdr:sp macro="" textlink="">
      <xdr:nvSpPr>
        <xdr:cNvPr id="9" name="Rectangle: Rounded Corners 8">
          <a:extLst>
            <a:ext uri="{FF2B5EF4-FFF2-40B4-BE49-F238E27FC236}">
              <a16:creationId xmlns:a16="http://schemas.microsoft.com/office/drawing/2014/main" id="{A31370D5-3056-0EDA-296A-4A63F683E0D5}"/>
            </a:ext>
          </a:extLst>
        </xdr:cNvPr>
        <xdr:cNvSpPr/>
      </xdr:nvSpPr>
      <xdr:spPr>
        <a:xfrm>
          <a:off x="3636266" y="734371"/>
          <a:ext cx="1177642" cy="1051883"/>
        </a:xfrm>
        <a:prstGeom prst="roundRect">
          <a:avLst>
            <a:gd name="adj" fmla="val 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122559</xdr:colOff>
      <xdr:row>10</xdr:row>
      <xdr:rowOff>127888</xdr:rowOff>
    </xdr:from>
    <xdr:to>
      <xdr:col>8</xdr:col>
      <xdr:colOff>53287</xdr:colOff>
      <xdr:row>14</xdr:row>
      <xdr:rowOff>76629</xdr:rowOff>
    </xdr:to>
    <xdr:sp macro="" textlink="">
      <xdr:nvSpPr>
        <xdr:cNvPr id="10" name="Rectangle: Rounded Corners 9">
          <a:extLst>
            <a:ext uri="{FF2B5EF4-FFF2-40B4-BE49-F238E27FC236}">
              <a16:creationId xmlns:a16="http://schemas.microsoft.com/office/drawing/2014/main" id="{C6E2F464-01D1-088C-62C2-E53316A0AF67}"/>
            </a:ext>
          </a:extLst>
        </xdr:cNvPr>
        <xdr:cNvSpPr/>
      </xdr:nvSpPr>
      <xdr:spPr>
        <a:xfrm>
          <a:off x="1337496" y="1939636"/>
          <a:ext cx="3575539" cy="67344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132520</xdr:colOff>
      <xdr:row>15</xdr:row>
      <xdr:rowOff>44490</xdr:rowOff>
    </xdr:from>
    <xdr:to>
      <xdr:col>7</xdr:col>
      <xdr:colOff>574261</xdr:colOff>
      <xdr:row>22</xdr:row>
      <xdr:rowOff>58615</xdr:rowOff>
    </xdr:to>
    <xdr:sp macro="" textlink="">
      <xdr:nvSpPr>
        <xdr:cNvPr id="11" name="Rectangle: Rounded Corners 10">
          <a:extLst>
            <a:ext uri="{FF2B5EF4-FFF2-40B4-BE49-F238E27FC236}">
              <a16:creationId xmlns:a16="http://schemas.microsoft.com/office/drawing/2014/main" id="{10CF5F41-9A07-496F-3B51-7F937B8A4895}"/>
            </a:ext>
          </a:extLst>
        </xdr:cNvPr>
        <xdr:cNvSpPr/>
      </xdr:nvSpPr>
      <xdr:spPr>
        <a:xfrm>
          <a:off x="1347303" y="2860577"/>
          <a:ext cx="3478697" cy="132829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145026</xdr:colOff>
      <xdr:row>9</xdr:row>
      <xdr:rowOff>147483</xdr:rowOff>
    </xdr:from>
    <xdr:to>
      <xdr:col>12</xdr:col>
      <xdr:colOff>508000</xdr:colOff>
      <xdr:row>22</xdr:row>
      <xdr:rowOff>122902</xdr:rowOff>
    </xdr:to>
    <xdr:sp macro="" textlink="">
      <xdr:nvSpPr>
        <xdr:cNvPr id="12" name="Rectangle: Rounded Corners 11">
          <a:extLst>
            <a:ext uri="{FF2B5EF4-FFF2-40B4-BE49-F238E27FC236}">
              <a16:creationId xmlns:a16="http://schemas.microsoft.com/office/drawing/2014/main" id="{A10515AA-86E3-349F-529E-9B5ADF701736}"/>
            </a:ext>
          </a:extLst>
        </xdr:cNvPr>
        <xdr:cNvSpPr/>
      </xdr:nvSpPr>
      <xdr:spPr>
        <a:xfrm>
          <a:off x="4995607" y="1769806"/>
          <a:ext cx="2788264" cy="23187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202191</xdr:colOff>
      <xdr:row>1</xdr:row>
      <xdr:rowOff>116312</xdr:rowOff>
    </xdr:from>
    <xdr:to>
      <xdr:col>5</xdr:col>
      <xdr:colOff>156138</xdr:colOff>
      <xdr:row>3</xdr:row>
      <xdr:rowOff>66071</xdr:rowOff>
    </xdr:to>
    <xdr:sp macro="" textlink="">
      <xdr:nvSpPr>
        <xdr:cNvPr id="13" name="TextBox 12">
          <a:extLst>
            <a:ext uri="{FF2B5EF4-FFF2-40B4-BE49-F238E27FC236}">
              <a16:creationId xmlns:a16="http://schemas.microsoft.com/office/drawing/2014/main" id="{5240BE41-BB2A-481B-7A7F-AD5C5FB8B768}"/>
            </a:ext>
          </a:extLst>
        </xdr:cNvPr>
        <xdr:cNvSpPr txBox="1"/>
      </xdr:nvSpPr>
      <xdr:spPr>
        <a:xfrm>
          <a:off x="815508" y="302166"/>
          <a:ext cx="2407215" cy="321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a:solidFill>
                <a:schemeClr val="dk1"/>
              </a:solidFill>
              <a:effectLst/>
              <a:latin typeface="Bernard MT Condensed" panose="02050806060905020404" pitchFamily="18" charset="0"/>
              <a:ea typeface="+mn-ea"/>
              <a:cs typeface="+mn-cs"/>
            </a:rPr>
            <a:t>HOSPITAL EMERGENCY  ROOM DASHBOARD</a:t>
          </a:r>
          <a:endParaRPr lang="en-IN" sz="1200">
            <a:effectLst/>
            <a:latin typeface="Bernard MT Condensed" panose="02050806060905020404" pitchFamily="18" charset="0"/>
          </a:endParaRPr>
        </a:p>
        <a:p>
          <a:endParaRPr lang="en-IN" sz="1400">
            <a:latin typeface="Bernard MT Condensed" panose="02050806060905020404" pitchFamily="18" charset="0"/>
          </a:endParaRPr>
        </a:p>
      </xdr:txBody>
    </xdr:sp>
    <xdr:clientData/>
  </xdr:twoCellAnchor>
  <xdr:twoCellAnchor editAs="oneCell">
    <xdr:from>
      <xdr:col>0</xdr:col>
      <xdr:colOff>111512</xdr:colOff>
      <xdr:row>1</xdr:row>
      <xdr:rowOff>105785</xdr:rowOff>
    </xdr:from>
    <xdr:to>
      <xdr:col>1</xdr:col>
      <xdr:colOff>427463</xdr:colOff>
      <xdr:row>3</xdr:row>
      <xdr:rowOff>180899</xdr:rowOff>
    </xdr:to>
    <xdr:pic>
      <xdr:nvPicPr>
        <xdr:cNvPr id="15" name="Picture 14">
          <a:extLst>
            <a:ext uri="{FF2B5EF4-FFF2-40B4-BE49-F238E27FC236}">
              <a16:creationId xmlns:a16="http://schemas.microsoft.com/office/drawing/2014/main" id="{5E7521E4-0633-224E-5A0F-D819D1B74B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512" y="291639"/>
          <a:ext cx="929268" cy="446821"/>
        </a:xfrm>
        <a:prstGeom prst="rect">
          <a:avLst/>
        </a:prstGeom>
      </xdr:spPr>
    </xdr:pic>
    <xdr:clientData/>
  </xdr:twoCellAnchor>
  <xdr:twoCellAnchor>
    <xdr:from>
      <xdr:col>2</xdr:col>
      <xdr:colOff>415086</xdr:colOff>
      <xdr:row>2</xdr:row>
      <xdr:rowOff>172588</xdr:rowOff>
    </xdr:from>
    <xdr:to>
      <xdr:col>4</xdr:col>
      <xdr:colOff>206633</xdr:colOff>
      <xdr:row>4</xdr:row>
      <xdr:rowOff>5025</xdr:rowOff>
    </xdr:to>
    <xdr:sp macro="" textlink="">
      <xdr:nvSpPr>
        <xdr:cNvPr id="16" name="TextBox 15">
          <a:extLst>
            <a:ext uri="{FF2B5EF4-FFF2-40B4-BE49-F238E27FC236}">
              <a16:creationId xmlns:a16="http://schemas.microsoft.com/office/drawing/2014/main" id="{2ECC1378-29D4-9F12-2C82-4250A0B55D69}"/>
            </a:ext>
          </a:extLst>
        </xdr:cNvPr>
        <xdr:cNvSpPr txBox="1"/>
      </xdr:nvSpPr>
      <xdr:spPr>
        <a:xfrm>
          <a:off x="1641720" y="544295"/>
          <a:ext cx="1018181" cy="204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latin typeface="Bernard MT Condensed" panose="02050806060905020404" pitchFamily="18" charset="0"/>
            </a:rPr>
            <a:t>MONTHLY</a:t>
          </a:r>
          <a:r>
            <a:rPr lang="en-IN" sz="800" baseline="0">
              <a:latin typeface="Bernard MT Condensed" panose="02050806060905020404" pitchFamily="18" charset="0"/>
            </a:rPr>
            <a:t> REPORT</a:t>
          </a:r>
          <a:endParaRPr lang="en-IN" sz="800">
            <a:latin typeface="Bernard MT Condensed" panose="02050806060905020404" pitchFamily="18" charset="0"/>
          </a:endParaRPr>
        </a:p>
      </xdr:txBody>
    </xdr:sp>
    <xdr:clientData/>
  </xdr:twoCellAnchor>
  <xdr:twoCellAnchor>
    <xdr:from>
      <xdr:col>2</xdr:col>
      <xdr:colOff>444330</xdr:colOff>
      <xdr:row>5</xdr:row>
      <xdr:rowOff>118608</xdr:rowOff>
    </xdr:from>
    <xdr:to>
      <xdr:col>3</xdr:col>
      <xdr:colOff>212912</xdr:colOff>
      <xdr:row>6</xdr:row>
      <xdr:rowOff>151280</xdr:rowOff>
    </xdr:to>
    <xdr:sp macro="" textlink="'PIVOTE REPORT'!A8">
      <xdr:nvSpPr>
        <xdr:cNvPr id="17" name="TextBox 16">
          <a:extLst>
            <a:ext uri="{FF2B5EF4-FFF2-40B4-BE49-F238E27FC236}">
              <a16:creationId xmlns:a16="http://schemas.microsoft.com/office/drawing/2014/main" id="{34A6EE52-EEA6-2F61-357C-275C3027F4D8}"/>
            </a:ext>
          </a:extLst>
        </xdr:cNvPr>
        <xdr:cNvSpPr txBox="1"/>
      </xdr:nvSpPr>
      <xdr:spPr>
        <a:xfrm>
          <a:off x="1665771" y="1043093"/>
          <a:ext cx="379303" cy="217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FC3FEA9-FBD0-4E78-AC2E-D2AAE02EB800}" type="TxLink">
            <a:rPr lang="en-US" sz="1100" b="0" i="0" u="none" strike="noStrike">
              <a:solidFill>
                <a:srgbClr val="000000"/>
              </a:solidFill>
              <a:latin typeface="Calibri"/>
              <a:ea typeface="Calibri"/>
              <a:cs typeface="Calibri"/>
            </a:rPr>
            <a:pPr/>
            <a:t>506</a:t>
          </a:fld>
          <a:endParaRPr lang="en-IN" sz="600">
            <a:latin typeface="Bernard MT Condensed" panose="02050806060905020404" pitchFamily="18" charset="0"/>
          </a:endParaRPr>
        </a:p>
      </xdr:txBody>
    </xdr:sp>
    <xdr:clientData/>
  </xdr:twoCellAnchor>
  <xdr:twoCellAnchor>
    <xdr:from>
      <xdr:col>4</xdr:col>
      <xdr:colOff>365889</xdr:colOff>
      <xdr:row>5</xdr:row>
      <xdr:rowOff>73784</xdr:rowOff>
    </xdr:from>
    <xdr:to>
      <xdr:col>5</xdr:col>
      <xdr:colOff>319368</xdr:colOff>
      <xdr:row>7</xdr:row>
      <xdr:rowOff>16808</xdr:rowOff>
    </xdr:to>
    <xdr:sp macro="" textlink="'PIVOTE REPORT'!A14">
      <xdr:nvSpPr>
        <xdr:cNvPr id="18" name="TextBox 17">
          <a:extLst>
            <a:ext uri="{FF2B5EF4-FFF2-40B4-BE49-F238E27FC236}">
              <a16:creationId xmlns:a16="http://schemas.microsoft.com/office/drawing/2014/main" id="{DC7EBB11-CD4C-656A-675C-794C60F1C360}"/>
            </a:ext>
          </a:extLst>
        </xdr:cNvPr>
        <xdr:cNvSpPr txBox="1"/>
      </xdr:nvSpPr>
      <xdr:spPr>
        <a:xfrm>
          <a:off x="2808771" y="998269"/>
          <a:ext cx="564200" cy="312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D08FD5C1-4E3F-4269-BFE8-51027A7C0649}" type="TxLink">
            <a:rPr lang="en-US" sz="1100" b="0" i="0" u="none" strike="noStrike">
              <a:solidFill>
                <a:srgbClr val="000000"/>
              </a:solidFill>
              <a:latin typeface="Calibri"/>
              <a:ea typeface="Calibri"/>
              <a:cs typeface="Calibri"/>
            </a:rPr>
            <a:pPr/>
            <a:t>35.88</a:t>
          </a:fld>
          <a:endParaRPr lang="en-IN" sz="600">
            <a:latin typeface="Bernard MT Condensed" panose="02050806060905020404" pitchFamily="18" charset="0"/>
          </a:endParaRPr>
        </a:p>
      </xdr:txBody>
    </xdr:sp>
    <xdr:clientData/>
  </xdr:twoCellAnchor>
  <xdr:twoCellAnchor>
    <xdr:from>
      <xdr:col>6</xdr:col>
      <xdr:colOff>337874</xdr:colOff>
      <xdr:row>5</xdr:row>
      <xdr:rowOff>23358</xdr:rowOff>
    </xdr:from>
    <xdr:to>
      <xdr:col>7</xdr:col>
      <xdr:colOff>291354</xdr:colOff>
      <xdr:row>6</xdr:row>
      <xdr:rowOff>151279</xdr:rowOff>
    </xdr:to>
    <xdr:sp macro="" textlink="'PIVOTE REPORT'!A19">
      <xdr:nvSpPr>
        <xdr:cNvPr id="19" name="TextBox 18">
          <a:extLst>
            <a:ext uri="{FF2B5EF4-FFF2-40B4-BE49-F238E27FC236}">
              <a16:creationId xmlns:a16="http://schemas.microsoft.com/office/drawing/2014/main" id="{6A8A7365-4DF1-8142-A4C2-86A46288056F}"/>
            </a:ext>
          </a:extLst>
        </xdr:cNvPr>
        <xdr:cNvSpPr txBox="1"/>
      </xdr:nvSpPr>
      <xdr:spPr>
        <a:xfrm>
          <a:off x="4002198" y="947843"/>
          <a:ext cx="564200" cy="312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F2A4A1D-DC98-46B0-BA1E-A3A1A8C7E9A7}" type="TxLink">
            <a:rPr lang="en-US" sz="1100" b="0" i="0" u="none" strike="noStrike">
              <a:solidFill>
                <a:srgbClr val="000000"/>
              </a:solidFill>
              <a:latin typeface="Calibri"/>
              <a:ea typeface="Calibri"/>
              <a:cs typeface="Calibri"/>
            </a:rPr>
            <a:pPr/>
            <a:t>5.33</a:t>
          </a:fld>
          <a:endParaRPr lang="en-IN" sz="600">
            <a:latin typeface="Bernard MT Condensed" panose="02050806060905020404" pitchFamily="18" charset="0"/>
          </a:endParaRPr>
        </a:p>
      </xdr:txBody>
    </xdr:sp>
    <xdr:clientData/>
  </xdr:twoCellAnchor>
  <xdr:twoCellAnchor>
    <xdr:from>
      <xdr:col>2</xdr:col>
      <xdr:colOff>410713</xdr:colOff>
      <xdr:row>6</xdr:row>
      <xdr:rowOff>141021</xdr:rowOff>
    </xdr:from>
    <xdr:to>
      <xdr:col>4</xdr:col>
      <xdr:colOff>204857</xdr:colOff>
      <xdr:row>7</xdr:row>
      <xdr:rowOff>159312</xdr:rowOff>
    </xdr:to>
    <xdr:sp macro="" textlink="">
      <xdr:nvSpPr>
        <xdr:cNvPr id="20" name="TextBox 19">
          <a:extLst>
            <a:ext uri="{FF2B5EF4-FFF2-40B4-BE49-F238E27FC236}">
              <a16:creationId xmlns:a16="http://schemas.microsoft.com/office/drawing/2014/main" id="{6F8E4E16-FB9F-B9A2-9837-71CD102CFFBD}"/>
            </a:ext>
          </a:extLst>
        </xdr:cNvPr>
        <xdr:cNvSpPr txBox="1"/>
      </xdr:nvSpPr>
      <xdr:spPr>
        <a:xfrm>
          <a:off x="1632154" y="1250403"/>
          <a:ext cx="1015585" cy="203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600">
              <a:latin typeface="Bernard MT Condensed" panose="02050806060905020404" pitchFamily="18" charset="0"/>
            </a:rPr>
            <a:t>NO</a:t>
          </a:r>
          <a:r>
            <a:rPr lang="en-IN" sz="600" baseline="0">
              <a:latin typeface="Bernard MT Condensed" panose="02050806060905020404" pitchFamily="18" charset="0"/>
            </a:rPr>
            <a:t> OF PATIENT</a:t>
          </a:r>
          <a:endParaRPr lang="en-IN" sz="600">
            <a:latin typeface="Bernard MT Condensed" panose="02050806060905020404" pitchFamily="18" charset="0"/>
          </a:endParaRPr>
        </a:p>
      </xdr:txBody>
    </xdr:sp>
    <xdr:clientData/>
  </xdr:twoCellAnchor>
  <xdr:twoCellAnchor>
    <xdr:from>
      <xdr:col>4</xdr:col>
      <xdr:colOff>337875</xdr:colOff>
      <xdr:row>6</xdr:row>
      <xdr:rowOff>141021</xdr:rowOff>
    </xdr:from>
    <xdr:to>
      <xdr:col>6</xdr:col>
      <xdr:colOff>132018</xdr:colOff>
      <xdr:row>7</xdr:row>
      <xdr:rowOff>159312</xdr:rowOff>
    </xdr:to>
    <xdr:sp macro="" textlink="">
      <xdr:nvSpPr>
        <xdr:cNvPr id="21" name="TextBox 20">
          <a:extLst>
            <a:ext uri="{FF2B5EF4-FFF2-40B4-BE49-F238E27FC236}">
              <a16:creationId xmlns:a16="http://schemas.microsoft.com/office/drawing/2014/main" id="{67DC409A-B876-299A-03E5-5473D2507CA9}"/>
            </a:ext>
          </a:extLst>
        </xdr:cNvPr>
        <xdr:cNvSpPr txBox="1"/>
      </xdr:nvSpPr>
      <xdr:spPr>
        <a:xfrm>
          <a:off x="2780757" y="1250403"/>
          <a:ext cx="1015585" cy="203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600">
              <a:latin typeface="Bernard MT Condensed" panose="02050806060905020404" pitchFamily="18" charset="0"/>
            </a:rPr>
            <a:t>AVG</a:t>
          </a:r>
          <a:r>
            <a:rPr lang="en-IN" sz="600" baseline="0">
              <a:latin typeface="Bernard MT Condensed" panose="02050806060905020404" pitchFamily="18" charset="0"/>
            </a:rPr>
            <a:t> WAITTIME</a:t>
          </a:r>
          <a:endParaRPr lang="en-IN" sz="600">
            <a:latin typeface="Bernard MT Condensed" panose="02050806060905020404" pitchFamily="18" charset="0"/>
          </a:endParaRPr>
        </a:p>
      </xdr:txBody>
    </xdr:sp>
    <xdr:clientData/>
  </xdr:twoCellAnchor>
  <xdr:twoCellAnchor>
    <xdr:from>
      <xdr:col>6</xdr:col>
      <xdr:colOff>80139</xdr:colOff>
      <xdr:row>6</xdr:row>
      <xdr:rowOff>73786</xdr:rowOff>
    </xdr:from>
    <xdr:to>
      <xdr:col>7</xdr:col>
      <xdr:colOff>485004</xdr:colOff>
      <xdr:row>7</xdr:row>
      <xdr:rowOff>92077</xdr:rowOff>
    </xdr:to>
    <xdr:sp macro="" textlink="">
      <xdr:nvSpPr>
        <xdr:cNvPr id="22" name="TextBox 21">
          <a:extLst>
            <a:ext uri="{FF2B5EF4-FFF2-40B4-BE49-F238E27FC236}">
              <a16:creationId xmlns:a16="http://schemas.microsoft.com/office/drawing/2014/main" id="{8F21C9D9-5142-6A9A-6D36-1900EBB66E11}"/>
            </a:ext>
          </a:extLst>
        </xdr:cNvPr>
        <xdr:cNvSpPr txBox="1"/>
      </xdr:nvSpPr>
      <xdr:spPr>
        <a:xfrm>
          <a:off x="3744463" y="1183168"/>
          <a:ext cx="1015585" cy="203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600">
              <a:latin typeface="Bernard MT Condensed" panose="02050806060905020404" pitchFamily="18" charset="0"/>
            </a:rPr>
            <a:t>PATIENT</a:t>
          </a:r>
          <a:r>
            <a:rPr lang="en-IN" sz="600" baseline="0">
              <a:latin typeface="Bernard MT Condensed" panose="02050806060905020404" pitchFamily="18" charset="0"/>
            </a:rPr>
            <a:t> SATISFACTION SCORE</a:t>
          </a:r>
          <a:endParaRPr lang="en-IN" sz="600">
            <a:latin typeface="Bernard MT Condensed" panose="02050806060905020404" pitchFamily="18" charset="0"/>
          </a:endParaRPr>
        </a:p>
      </xdr:txBody>
    </xdr:sp>
    <xdr:clientData/>
  </xdr:twoCellAnchor>
  <xdr:twoCellAnchor editAs="oneCell">
    <xdr:from>
      <xdr:col>5</xdr:col>
      <xdr:colOff>593687</xdr:colOff>
      <xdr:row>4</xdr:row>
      <xdr:rowOff>64433</xdr:rowOff>
    </xdr:from>
    <xdr:to>
      <xdr:col>6</xdr:col>
      <xdr:colOff>286646</xdr:colOff>
      <xdr:row>5</xdr:row>
      <xdr:rowOff>182095</xdr:rowOff>
    </xdr:to>
    <xdr:pic>
      <xdr:nvPicPr>
        <xdr:cNvPr id="24" name="Graphic 23" descr="Stars with solid fill">
          <a:extLst>
            <a:ext uri="{FF2B5EF4-FFF2-40B4-BE49-F238E27FC236}">
              <a16:creationId xmlns:a16="http://schemas.microsoft.com/office/drawing/2014/main" id="{9C00CAFD-2E3B-6D6C-C0E1-53E7E9639C2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641687" y="795953"/>
          <a:ext cx="302559" cy="300542"/>
        </a:xfrm>
        <a:prstGeom prst="rect">
          <a:avLst/>
        </a:prstGeom>
      </xdr:spPr>
    </xdr:pic>
    <xdr:clientData/>
  </xdr:twoCellAnchor>
  <xdr:twoCellAnchor editAs="oneCell">
    <xdr:from>
      <xdr:col>4</xdr:col>
      <xdr:colOff>99575</xdr:colOff>
      <xdr:row>4</xdr:row>
      <xdr:rowOff>65957</xdr:rowOff>
    </xdr:from>
    <xdr:to>
      <xdr:col>4</xdr:col>
      <xdr:colOff>381001</xdr:colOff>
      <xdr:row>5</xdr:row>
      <xdr:rowOff>162486</xdr:rowOff>
    </xdr:to>
    <xdr:pic>
      <xdr:nvPicPr>
        <xdr:cNvPr id="26" name="Graphic 25" descr="Clock with solid fill">
          <a:extLst>
            <a:ext uri="{FF2B5EF4-FFF2-40B4-BE49-F238E27FC236}">
              <a16:creationId xmlns:a16="http://schemas.microsoft.com/office/drawing/2014/main" id="{844CDD51-D503-483B-3FCB-72F6D907B38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542457" y="805545"/>
          <a:ext cx="281426" cy="281426"/>
        </a:xfrm>
        <a:prstGeom prst="rect">
          <a:avLst/>
        </a:prstGeom>
      </xdr:spPr>
    </xdr:pic>
    <xdr:clientData/>
  </xdr:twoCellAnchor>
  <xdr:twoCellAnchor editAs="oneCell">
    <xdr:from>
      <xdr:col>2</xdr:col>
      <xdr:colOff>110537</xdr:colOff>
      <xdr:row>4</xdr:row>
      <xdr:rowOff>52916</xdr:rowOff>
    </xdr:from>
    <xdr:to>
      <xdr:col>2</xdr:col>
      <xdr:colOff>473285</xdr:colOff>
      <xdr:row>6</xdr:row>
      <xdr:rowOff>45267</xdr:rowOff>
    </xdr:to>
    <xdr:pic>
      <xdr:nvPicPr>
        <xdr:cNvPr id="28" name="Graphic 27" descr="Users with solid fill">
          <a:extLst>
            <a:ext uri="{FF2B5EF4-FFF2-40B4-BE49-F238E27FC236}">
              <a16:creationId xmlns:a16="http://schemas.microsoft.com/office/drawing/2014/main" id="{13CB64DA-925B-0274-A67D-426666906BB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32755" y="777193"/>
          <a:ext cx="362748" cy="354490"/>
        </a:xfrm>
        <a:prstGeom prst="rect">
          <a:avLst/>
        </a:prstGeom>
      </xdr:spPr>
    </xdr:pic>
    <xdr:clientData/>
  </xdr:twoCellAnchor>
  <xdr:twoCellAnchor editAs="absolute">
    <xdr:from>
      <xdr:col>0</xdr:col>
      <xdr:colOff>265653</xdr:colOff>
      <xdr:row>4</xdr:row>
      <xdr:rowOff>76900</xdr:rowOff>
    </xdr:from>
    <xdr:to>
      <xdr:col>1</xdr:col>
      <xdr:colOff>503339</xdr:colOff>
      <xdr:row>22</xdr:row>
      <xdr:rowOff>90881</xdr:rowOff>
    </xdr:to>
    <mc:AlternateContent xmlns:mc="http://schemas.openxmlformats.org/markup-compatibility/2006" xmlns:a14="http://schemas.microsoft.com/office/drawing/2010/main">
      <mc:Choice Requires="a14">
        <xdr:graphicFrame macro="">
          <xdr:nvGraphicFramePr>
            <xdr:cNvPr id="29" name="date (Month) 1">
              <a:extLst>
                <a:ext uri="{FF2B5EF4-FFF2-40B4-BE49-F238E27FC236}">
                  <a16:creationId xmlns:a16="http://schemas.microsoft.com/office/drawing/2014/main" id="{928E1FA3-F291-44FD-BC2E-1ED9D1AB17EA}"/>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265653" y="818305"/>
              <a:ext cx="848659" cy="3350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579258</xdr:colOff>
      <xdr:row>6</xdr:row>
      <xdr:rowOff>95229</xdr:rowOff>
    </xdr:from>
    <xdr:to>
      <xdr:col>4</xdr:col>
      <xdr:colOff>272389</xdr:colOff>
      <xdr:row>9</xdr:row>
      <xdr:rowOff>137602</xdr:rowOff>
    </xdr:to>
    <xdr:graphicFrame macro="">
      <xdr:nvGraphicFramePr>
        <xdr:cNvPr id="31" name="Chart 30">
          <a:hlinkClick xmlns:r="http://schemas.openxmlformats.org/officeDocument/2006/relationships" r:id="rId8"/>
          <a:extLst>
            <a:ext uri="{FF2B5EF4-FFF2-40B4-BE49-F238E27FC236}">
              <a16:creationId xmlns:a16="http://schemas.microsoft.com/office/drawing/2014/main" id="{CB1F3831-2AF3-4060-BD97-E4B7609DE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515471</xdr:colOff>
      <xdr:row>6</xdr:row>
      <xdr:rowOff>76198</xdr:rowOff>
    </xdr:from>
    <xdr:to>
      <xdr:col>7</xdr:col>
      <xdr:colOff>31376</xdr:colOff>
      <xdr:row>10</xdr:row>
      <xdr:rowOff>143435</xdr:rowOff>
    </xdr:to>
    <xdr:graphicFrame macro="">
      <xdr:nvGraphicFramePr>
        <xdr:cNvPr id="32" name="Chart 31">
          <a:hlinkClick xmlns:r="http://schemas.openxmlformats.org/officeDocument/2006/relationships" r:id="rId10"/>
          <a:extLst>
            <a:ext uri="{FF2B5EF4-FFF2-40B4-BE49-F238E27FC236}">
              <a16:creationId xmlns:a16="http://schemas.microsoft.com/office/drawing/2014/main" id="{02B17905-22A3-47F5-862E-1C4A8C803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557561</xdr:colOff>
      <xdr:row>5</xdr:row>
      <xdr:rowOff>149341</xdr:rowOff>
    </xdr:from>
    <xdr:to>
      <xdr:col>7</xdr:col>
      <xdr:colOff>567887</xdr:colOff>
      <xdr:row>10</xdr:row>
      <xdr:rowOff>115644</xdr:rowOff>
    </xdr:to>
    <xdr:graphicFrame macro="">
      <xdr:nvGraphicFramePr>
        <xdr:cNvPr id="33" name="Chart 32">
          <a:hlinkClick xmlns:r="http://schemas.openxmlformats.org/officeDocument/2006/relationships" r:id="rId12"/>
          <a:extLst>
            <a:ext uri="{FF2B5EF4-FFF2-40B4-BE49-F238E27FC236}">
              <a16:creationId xmlns:a16="http://schemas.microsoft.com/office/drawing/2014/main" id="{02E8F674-8C51-4BE0-A0D8-230B4E44A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181175</xdr:colOff>
          <xdr:row>11</xdr:row>
          <xdr:rowOff>5329</xdr:rowOff>
        </xdr:from>
        <xdr:to>
          <xdr:col>7</xdr:col>
          <xdr:colOff>591481</xdr:colOff>
          <xdr:row>14</xdr:row>
          <xdr:rowOff>1003</xdr:rowOff>
        </xdr:to>
        <xdr:pic>
          <xdr:nvPicPr>
            <xdr:cNvPr id="35" name="Picture 34">
              <a:extLst>
                <a:ext uri="{FF2B5EF4-FFF2-40B4-BE49-F238E27FC236}">
                  <a16:creationId xmlns:a16="http://schemas.microsoft.com/office/drawing/2014/main" id="{9E010E42-B04D-4CF2-D934-5788363DD093}"/>
                </a:ext>
              </a:extLst>
            </xdr:cNvPr>
            <xdr:cNvPicPr>
              <a:picLocks noChangeAspect="1" noChangeArrowheads="1"/>
              <a:extLst>
                <a:ext uri="{84589F7E-364E-4C9E-8A38-B11213B215E9}">
                  <a14:cameraTool cellRange="'PIVOTE REPORT'!$D$53:$G$55" spid="_x0000_s2068"/>
                </a:ext>
              </a:extLst>
            </xdr:cNvPicPr>
          </xdr:nvPicPr>
          <xdr:blipFill>
            <a:blip xmlns:r="http://schemas.openxmlformats.org/officeDocument/2006/relationships" r:embed="rId14"/>
            <a:srcRect/>
            <a:stretch>
              <a:fillRect/>
            </a:stretch>
          </xdr:blipFill>
          <xdr:spPr bwMode="auto">
            <a:xfrm>
              <a:off x="1396112" y="1998252"/>
              <a:ext cx="3447649" cy="539199"/>
            </a:xfrm>
            <a:prstGeom prst="rect">
              <a:avLst/>
            </a:prstGeom>
            <a:ln>
              <a:noFill/>
            </a:ln>
            <a:effectLst>
              <a:outerShdw blurRad="190500" algn="tl" rotWithShape="0">
                <a:srgbClr val="000000">
                  <a:alpha val="7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2</xdr:col>
      <xdr:colOff>412227</xdr:colOff>
      <xdr:row>15</xdr:row>
      <xdr:rowOff>68998</xdr:rowOff>
    </xdr:from>
    <xdr:to>
      <xdr:col>7</xdr:col>
      <xdr:colOff>402965</xdr:colOff>
      <xdr:row>21</xdr:row>
      <xdr:rowOff>90066</xdr:rowOff>
    </xdr:to>
    <xdr:graphicFrame macro="">
      <xdr:nvGraphicFramePr>
        <xdr:cNvPr id="36" name="Chart 35">
          <a:extLst>
            <a:ext uri="{FF2B5EF4-FFF2-40B4-BE49-F238E27FC236}">
              <a16:creationId xmlns:a16="http://schemas.microsoft.com/office/drawing/2014/main" id="{006C9023-1266-4B44-887C-2B671383A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589221</xdr:colOff>
      <xdr:row>21</xdr:row>
      <xdr:rowOff>52012</xdr:rowOff>
    </xdr:from>
    <xdr:to>
      <xdr:col>8</xdr:col>
      <xdr:colOff>202700</xdr:colOff>
      <xdr:row>24</xdr:row>
      <xdr:rowOff>162447</xdr:rowOff>
    </xdr:to>
    <xdr:sp macro="" textlink="">
      <xdr:nvSpPr>
        <xdr:cNvPr id="37" name="TextBox 36">
          <a:extLst>
            <a:ext uri="{FF2B5EF4-FFF2-40B4-BE49-F238E27FC236}">
              <a16:creationId xmlns:a16="http://schemas.microsoft.com/office/drawing/2014/main" id="{FB30D1CB-BE11-72E1-7EAF-121EB2EBADC3}"/>
            </a:ext>
          </a:extLst>
        </xdr:cNvPr>
        <xdr:cNvSpPr txBox="1"/>
      </xdr:nvSpPr>
      <xdr:spPr>
        <a:xfrm>
          <a:off x="2408189" y="3837431"/>
          <a:ext cx="2645092" cy="651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t>No</a:t>
          </a:r>
          <a:r>
            <a:rPr lang="en-IN" sz="800" b="1" baseline="0"/>
            <a:t> of patient by age group</a:t>
          </a:r>
          <a:endParaRPr lang="en-IN" sz="1000" b="1"/>
        </a:p>
      </xdr:txBody>
    </xdr:sp>
    <xdr:clientData/>
  </xdr:twoCellAnchor>
  <xdr:twoCellAnchor>
    <xdr:from>
      <xdr:col>7</xdr:col>
      <xdr:colOff>178777</xdr:colOff>
      <xdr:row>0</xdr:row>
      <xdr:rowOff>0</xdr:rowOff>
    </xdr:from>
    <xdr:to>
      <xdr:col>10</xdr:col>
      <xdr:colOff>122129</xdr:colOff>
      <xdr:row>9</xdr:row>
      <xdr:rowOff>164948</xdr:rowOff>
    </xdr:to>
    <xdr:graphicFrame macro="">
      <xdr:nvGraphicFramePr>
        <xdr:cNvPr id="38" name="Chart 37">
          <a:extLst>
            <a:ext uri="{FF2B5EF4-FFF2-40B4-BE49-F238E27FC236}">
              <a16:creationId xmlns:a16="http://schemas.microsoft.com/office/drawing/2014/main" id="{4C647046-5563-4ACB-9F0D-92C9D2910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188873</xdr:colOff>
      <xdr:row>8</xdr:row>
      <xdr:rowOff>37865</xdr:rowOff>
    </xdr:from>
    <xdr:to>
      <xdr:col>10</xdr:col>
      <xdr:colOff>182016</xdr:colOff>
      <xdr:row>9</xdr:row>
      <xdr:rowOff>118548</xdr:rowOff>
    </xdr:to>
    <xdr:sp macro="" textlink="">
      <xdr:nvSpPr>
        <xdr:cNvPr id="40" name="TextBox 39">
          <a:extLst>
            <a:ext uri="{FF2B5EF4-FFF2-40B4-BE49-F238E27FC236}">
              <a16:creationId xmlns:a16="http://schemas.microsoft.com/office/drawing/2014/main" id="{052D010F-368D-546E-F9ED-EAF735C5C510}"/>
            </a:ext>
          </a:extLst>
        </xdr:cNvPr>
        <xdr:cNvSpPr txBox="1"/>
      </xdr:nvSpPr>
      <xdr:spPr>
        <a:xfrm>
          <a:off x="5075545" y="1493995"/>
          <a:ext cx="1214811" cy="262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t> patient attend</a:t>
          </a:r>
          <a:r>
            <a:rPr lang="en-IN" sz="800" b="1" baseline="0"/>
            <a:t> status</a:t>
          </a:r>
          <a:endParaRPr lang="en-IN" sz="800" b="1"/>
        </a:p>
      </xdr:txBody>
    </xdr:sp>
    <xdr:clientData/>
  </xdr:twoCellAnchor>
  <xdr:twoCellAnchor>
    <xdr:from>
      <xdr:col>10</xdr:col>
      <xdr:colOff>233558</xdr:colOff>
      <xdr:row>0</xdr:row>
      <xdr:rowOff>0</xdr:rowOff>
    </xdr:from>
    <xdr:to>
      <xdr:col>13</xdr:col>
      <xdr:colOff>466078</xdr:colOff>
      <xdr:row>11</xdr:row>
      <xdr:rowOff>110971</xdr:rowOff>
    </xdr:to>
    <xdr:graphicFrame macro="">
      <xdr:nvGraphicFramePr>
        <xdr:cNvPr id="41" name="Chart 40">
          <a:extLst>
            <a:ext uri="{FF2B5EF4-FFF2-40B4-BE49-F238E27FC236}">
              <a16:creationId xmlns:a16="http://schemas.microsoft.com/office/drawing/2014/main" id="{ECE9849F-A724-4EC1-9F16-ABCE39AFD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435257</xdr:colOff>
      <xdr:row>8</xdr:row>
      <xdr:rowOff>35590</xdr:rowOff>
    </xdr:from>
    <xdr:to>
      <xdr:col>12</xdr:col>
      <xdr:colOff>428401</xdr:colOff>
      <xdr:row>9</xdr:row>
      <xdr:rowOff>116273</xdr:rowOff>
    </xdr:to>
    <xdr:sp macro="" textlink="">
      <xdr:nvSpPr>
        <xdr:cNvPr id="42" name="TextBox 41">
          <a:extLst>
            <a:ext uri="{FF2B5EF4-FFF2-40B4-BE49-F238E27FC236}">
              <a16:creationId xmlns:a16="http://schemas.microsoft.com/office/drawing/2014/main" id="{F195001C-E6BB-9CCA-81FA-4114702CF4C1}"/>
            </a:ext>
          </a:extLst>
        </xdr:cNvPr>
        <xdr:cNvSpPr txBox="1"/>
      </xdr:nvSpPr>
      <xdr:spPr>
        <a:xfrm>
          <a:off x="6536406" y="1497806"/>
          <a:ext cx="1213373" cy="263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t> gender</a:t>
          </a:r>
          <a:r>
            <a:rPr lang="en-IN" sz="800" b="1" baseline="0"/>
            <a:t> wise analysis</a:t>
          </a:r>
          <a:endParaRPr lang="en-IN" sz="800" b="1"/>
        </a:p>
      </xdr:txBody>
    </xdr:sp>
    <xdr:clientData/>
  </xdr:twoCellAnchor>
  <xdr:twoCellAnchor>
    <xdr:from>
      <xdr:col>7</xdr:col>
      <xdr:colOff>450645</xdr:colOff>
      <xdr:row>10</xdr:row>
      <xdr:rowOff>81936</xdr:rowOff>
    </xdr:from>
    <xdr:to>
      <xdr:col>12</xdr:col>
      <xdr:colOff>434258</xdr:colOff>
      <xdr:row>20</xdr:row>
      <xdr:rowOff>90130</xdr:rowOff>
    </xdr:to>
    <xdr:graphicFrame macro="">
      <xdr:nvGraphicFramePr>
        <xdr:cNvPr id="43" name="Chart 42">
          <a:extLst>
            <a:ext uri="{FF2B5EF4-FFF2-40B4-BE49-F238E27FC236}">
              <a16:creationId xmlns:a16="http://schemas.microsoft.com/office/drawing/2014/main" id="{4EE022FC-F1AD-4D2A-BD16-102D8A191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91128</xdr:colOff>
      <xdr:row>21</xdr:row>
      <xdr:rowOff>2817</xdr:rowOff>
    </xdr:from>
    <xdr:to>
      <xdr:col>13</xdr:col>
      <xdr:colOff>335935</xdr:colOff>
      <xdr:row>25</xdr:row>
      <xdr:rowOff>32774</xdr:rowOff>
    </xdr:to>
    <xdr:sp macro="" textlink="">
      <xdr:nvSpPr>
        <xdr:cNvPr id="44" name="TextBox 43">
          <a:extLst>
            <a:ext uri="{FF2B5EF4-FFF2-40B4-BE49-F238E27FC236}">
              <a16:creationId xmlns:a16="http://schemas.microsoft.com/office/drawing/2014/main" id="{08BA8CA1-C50B-B2E9-7BAF-A68592C1EC5A}"/>
            </a:ext>
          </a:extLst>
        </xdr:cNvPr>
        <xdr:cNvSpPr txBox="1"/>
      </xdr:nvSpPr>
      <xdr:spPr>
        <a:xfrm>
          <a:off x="5548031" y="3788236"/>
          <a:ext cx="2670098" cy="750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baseline="0"/>
            <a:t>No. of Patient by Department Referal</a:t>
          </a:r>
          <a:endParaRPr lang="en-IN" sz="800" b="1"/>
        </a:p>
      </xdr:txBody>
    </xdr:sp>
    <xdr:clientData/>
  </xdr:twoCellAnchor>
  <xdr:twoCellAnchor editAs="absolute">
    <xdr:from>
      <xdr:col>5</xdr:col>
      <xdr:colOff>340432</xdr:colOff>
      <xdr:row>1</xdr:row>
      <xdr:rowOff>23379</xdr:rowOff>
    </xdr:from>
    <xdr:to>
      <xdr:col>7</xdr:col>
      <xdr:colOff>422369</xdr:colOff>
      <xdr:row>3</xdr:row>
      <xdr:rowOff>94524</xdr:rowOff>
    </xdr:to>
    <mc:AlternateContent xmlns:mc="http://schemas.openxmlformats.org/markup-compatibility/2006" xmlns:a14="http://schemas.microsoft.com/office/drawing/2010/main">
      <mc:Choice Requires="a14">
        <xdr:graphicFrame macro="">
          <xdr:nvGraphicFramePr>
            <xdr:cNvPr id="45" name="date (Year)">
              <a:extLst>
                <a:ext uri="{FF2B5EF4-FFF2-40B4-BE49-F238E27FC236}">
                  <a16:creationId xmlns:a16="http://schemas.microsoft.com/office/drawing/2014/main" id="{A1E3CB2D-5521-434D-BB63-2A4110A02F1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95297" y="208730"/>
              <a:ext cx="1303883" cy="441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121920</xdr:colOff>
      <xdr:row>1</xdr:row>
      <xdr:rowOff>121920</xdr:rowOff>
    </xdr:from>
    <xdr:to>
      <xdr:col>14</xdr:col>
      <xdr:colOff>480060</xdr:colOff>
      <xdr:row>20</xdr:row>
      <xdr:rowOff>121920</xdr:rowOff>
    </xdr:to>
    <xdr:graphicFrame macro="">
      <xdr:nvGraphicFramePr>
        <xdr:cNvPr id="2" name="Chart 1">
          <a:extLst>
            <a:ext uri="{FF2B5EF4-FFF2-40B4-BE49-F238E27FC236}">
              <a16:creationId xmlns:a16="http://schemas.microsoft.com/office/drawing/2014/main" id="{585AFA05-BD27-4633-BB0A-92F53BACC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335280</xdr:colOff>
      <xdr:row>1</xdr:row>
      <xdr:rowOff>15240</xdr:rowOff>
    </xdr:from>
    <xdr:to>
      <xdr:col>15</xdr:col>
      <xdr:colOff>518160</xdr:colOff>
      <xdr:row>18</xdr:row>
      <xdr:rowOff>83820</xdr:rowOff>
    </xdr:to>
    <xdr:graphicFrame macro="">
      <xdr:nvGraphicFramePr>
        <xdr:cNvPr id="3" name="Chart 2">
          <a:extLst>
            <a:ext uri="{FF2B5EF4-FFF2-40B4-BE49-F238E27FC236}">
              <a16:creationId xmlns:a16="http://schemas.microsoft.com/office/drawing/2014/main" id="{2DAC3698-3CB1-439B-9A34-FA9C8261DB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234406</xdr:colOff>
      <xdr:row>18</xdr:row>
      <xdr:rowOff>126793</xdr:rowOff>
    </xdr:from>
    <xdr:to>
      <xdr:col>12</xdr:col>
      <xdr:colOff>379186</xdr:colOff>
      <xdr:row>19</xdr:row>
      <xdr:rowOff>171061</xdr:rowOff>
    </xdr:to>
    <xdr:sp macro="" textlink="">
      <xdr:nvSpPr>
        <xdr:cNvPr id="4" name="TextBox 3">
          <a:extLst>
            <a:ext uri="{FF2B5EF4-FFF2-40B4-BE49-F238E27FC236}">
              <a16:creationId xmlns:a16="http://schemas.microsoft.com/office/drawing/2014/main" id="{A566285E-C4B4-1258-C8A7-1E1216E9833A}"/>
            </a:ext>
          </a:extLst>
        </xdr:cNvPr>
        <xdr:cNvSpPr txBox="1"/>
      </xdr:nvSpPr>
      <xdr:spPr>
        <a:xfrm>
          <a:off x="2069426" y="3392507"/>
          <a:ext cx="5649842" cy="2256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Showing a daily trend with an area sparkline to spot patterns like busy days or seasonal trends.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192053</xdr:colOff>
      <xdr:row>3</xdr:row>
      <xdr:rowOff>2886</xdr:rowOff>
    </xdr:from>
    <xdr:to>
      <xdr:col>19</xdr:col>
      <xdr:colOff>32033</xdr:colOff>
      <xdr:row>24</xdr:row>
      <xdr:rowOff>25745</xdr:rowOff>
    </xdr:to>
    <xdr:graphicFrame macro="">
      <xdr:nvGraphicFramePr>
        <xdr:cNvPr id="2" name="Chart 1">
          <a:extLst>
            <a:ext uri="{FF2B5EF4-FFF2-40B4-BE49-F238E27FC236}">
              <a16:creationId xmlns:a16="http://schemas.microsoft.com/office/drawing/2014/main" id="{94CCB481-2E94-4CC8-8014-69919A818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82347476852" createdVersion="5" refreshedVersion="8" minRefreshableVersion="3" recordCount="0" supportSubquery="1" supportAdvancedDrill="1" xr:uid="{CB35B27C-15EE-427C-9621-9E8046F7B220}">
  <cacheSource type="external" connectionId="4"/>
  <cacheFields count="4">
    <cacheField name="[Measures].[Distinct Count of Patient Id]" caption="Distinct Count of Patient Id" numFmtId="0" hierarchy="24" level="32767"/>
    <cacheField name="[calenda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823475115743" createdVersion="5" refreshedVersion="8" minRefreshableVersion="3" recordCount="0" supportSubquery="1" supportAdvancedDrill="1" xr:uid="{44132A83-24A1-4530-A184-C485D5F3CE07}">
  <cacheSource type="external" connectionId="4"/>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823475347221" createdVersion="5" refreshedVersion="8" minRefreshableVersion="3" recordCount="0" supportSubquery="1" supportAdvancedDrill="1" xr:uid="{3862BB58-8737-4006-8AA6-2CE05D5D33AE}">
  <cacheSource type="external" connectionId="4"/>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823475694444" createdVersion="5" refreshedVersion="8" minRefreshableVersion="3" recordCount="0" supportSubquery="1" supportAdvancedDrill="1" xr:uid="{8E496F33-5EA4-4B23-8E7B-CEDC952BF933}">
  <cacheSource type="external" connectionId="4"/>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82347638889" createdVersion="5" refreshedVersion="8" minRefreshableVersion="3" recordCount="0" supportSubquery="1" supportAdvancedDrill="1" xr:uid="{BC2EA424-C679-45DA-BCCF-48361636B6B6}">
  <cacheSource type="external" connectionId="4"/>
  <cacheFields count="4">
    <cacheField name="[calenda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823477199076" createdVersion="5" refreshedVersion="8" minRefreshableVersion="3" recordCount="0" supportSubquery="1" supportAdvancedDrill="1" xr:uid="{43B25C35-CB0F-475B-A33F-8DAEA3F4FAA3}">
  <cacheSource type="external" connectionId="4"/>
  <cacheFields count="4">
    <cacheField name="[calenda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823477662037" createdVersion="5" refreshedVersion="8" minRefreshableVersion="3" recordCount="0" supportSubquery="1" supportAdvancedDrill="1" xr:uid="{EBE8B71F-98EE-4758-A13A-5C934D36271F}">
  <cacheSource type="external" connectionId="4"/>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ed"/>
        <s v="Not admi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823478356484" createdVersion="5" refreshedVersion="8" minRefreshableVersion="3" recordCount="0" supportSubquery="1" supportAdvancedDrill="1" xr:uid="{7531E044-620D-4863-B1E4-70E48C589FDF}">
  <cacheSource type="external" connectionId="4"/>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823478935185" createdVersion="5" refreshedVersion="8" minRefreshableVersion="3" recordCount="0" supportSubquery="1" supportAdvancedDrill="1" xr:uid="{8570E79A-6F11-481B-93AF-4E411AC9FF2E}">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823479513892" createdVersion="5" refreshedVersion="8" minRefreshableVersion="3" recordCount="0" supportSubquery="1" supportAdvancedDrill="1" xr:uid="{F3466709-A239-44CD-A932-B06422B466F8}">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823480092593" createdVersion="5" refreshedVersion="8" minRefreshableVersion="3" recordCount="0" supportSubquery="1" supportAdvancedDrill="1" xr:uid="{0A63B3A5-FB77-4693-BFC9-F2E3CF0E096B}">
  <cacheSource type="external" connectionId="4"/>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823480555555" createdVersion="5" refreshedVersion="8" minRefreshableVersion="3" recordCount="0" supportSubquery="1" supportAdvancedDrill="1" xr:uid="{F0904E2A-3287-401E-99A5-07E1A3AE173B}">
  <cacheSource type="external" connectionId="4"/>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641798263889" createdVersion="3" refreshedVersion="8" minRefreshableVersion="3" recordCount="0" supportSubquery="1" supportAdvancedDrill="1" xr:uid="{95E1EADF-A54F-4E6D-91CE-A512DFA64D39}">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879489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E11087-AF86-4FA7-88BE-199FDF87D7F3}" name="PivotTable4" cacheId="93" applyNumberFormats="0" applyBorderFormats="0" applyFontFormats="0" applyPatternFormats="0" applyAlignmentFormats="0" applyWidthHeightFormats="1" dataCaption="Values" tag="dca1456d-2e20-4058-9dbf-0133ecd2402b" updatedVersion="8" minRefreshableVersion="3" subtotalHiddenItems="1" itemPrintTitles="1" createdVersion="5" indent="0" outline="1" outlineData="1" multipleFieldFilters="0" chartFormat="19">
  <location ref="D8:E40"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19CC17-A1D6-421A-A0E5-3E26E07807B4}" name="PivotTable9" cacheId="117" applyNumberFormats="0" applyBorderFormats="0" applyFontFormats="0" applyPatternFormats="0" applyAlignmentFormats="0" applyWidthHeightFormats="1" dataCaption="Values" tag="a703edee-7150-4a56-8866-d3b3259135f4" updatedVersion="8" minRefreshableVersion="3" itemPrintTitles="1" createdVersion="5" indent="0" outline="1" outlineData="1" multipleFieldFilters="0" chartFormat="7">
  <location ref="J60:K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8B0CBF-69A1-486B-BC32-0FB00D3B5F29}" name="PivotTable3" cacheId="102" applyNumberFormats="0" applyBorderFormats="0" applyFontFormats="0" applyPatternFormats="0" applyAlignmentFormats="0" applyWidthHeightFormats="1" dataCaption="Values" tag="1165b4f6-c5ff-4e98-b702-83138b07b9a4" updatedVersion="8" minRefreshableVersion="3" itemPrintTitles="1" createdVersion="5" indent="0" outline="1" outlineData="1" multipleFieldFilters="0">
  <location ref="A18:A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8">
      <pivotArea outline="0" collapsedLevelsAreSubtotals="1" fieldPosition="0"/>
    </format>
  </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C6CB76-86E4-4E41-A1E5-8E9EF3CB974C}" name="PivotTable8" cacheId="114" applyNumberFormats="0" applyBorderFormats="0" applyFontFormats="0" applyPatternFormats="0" applyAlignmentFormats="0" applyWidthHeightFormats="1" dataCaption="Values" tag="3d04a449-db53-4564-b091-1f937e2e2d84" updatedVersion="8" minRefreshableVersion="3" itemPrintTitles="1" createdVersion="5" indent="0" outline="1" outlineData="1" multipleFieldFilters="0" chartFormat="3">
  <location ref="G61:H7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9">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6"/>
          </reference>
        </references>
      </pivotArea>
    </chartFormat>
    <chartFormat chart="2" format="4">
      <pivotArea type="data" outline="0" fieldPosition="0">
        <references count="2">
          <reference field="4294967294" count="1" selected="0">
            <x v="0"/>
          </reference>
          <reference field="1" count="1" selected="0">
            <x v="7"/>
          </reference>
        </references>
      </pivotArea>
    </chartFormat>
    <chartFormat chart="2" format="5">
      <pivotArea type="data" outline="0" fieldPosition="0">
        <references count="2">
          <reference field="4294967294" count="1" selected="0">
            <x v="0"/>
          </reference>
          <reference field="1" count="1" selected="0">
            <x v="5"/>
          </reference>
        </references>
      </pivotArea>
    </chartFormat>
    <chartFormat chart="2" format="6">
      <pivotArea type="data" outline="0" fieldPosition="0">
        <references count="2">
          <reference field="4294967294" count="1" selected="0">
            <x v="0"/>
          </reference>
          <reference field="1" count="1" selected="0">
            <x v="4"/>
          </reference>
        </references>
      </pivotArea>
    </chartFormat>
    <chartFormat chart="2" format="7">
      <pivotArea type="data" outline="0" fieldPosition="0">
        <references count="2">
          <reference field="4294967294" count="1" selected="0">
            <x v="0"/>
          </reference>
          <reference field="1" count="1" selected="0">
            <x v="3"/>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D57ACE-259B-4596-8B38-592FB89BF878}" name="PivotTable2" cacheId="99" applyNumberFormats="0" applyBorderFormats="0" applyFontFormats="0" applyPatternFormats="0" applyAlignmentFormats="0" applyWidthHeightFormats="1" dataCaption="Values" tag="026de970-cf18-4a26-814a-11c5aa28c951" updatedVersion="8" minRefreshableVersion="3"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9">
      <pivotArea outline="0" collapsedLevelsAreSubtotals="1" fieldPosition="0"/>
    </format>
  </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91A6E5-7290-4FF7-BCC8-C7E7584E8FCD}" name="PivotTable7" cacheId="111" applyNumberFormats="0" applyBorderFormats="0" applyFontFormats="0" applyPatternFormats="0" applyAlignmentFormats="0" applyWidthHeightFormats="1" dataCaption="Values" tag="0e286c68-d858-4dcf-a876-c0396c540d31" updatedVersion="8" minRefreshableVersion="3" itemPrintTitles="1" createdVersion="5" indent="0" outline="1" outlineData="1" multipleFieldFilters="0" chartFormat="1">
  <location ref="D44:F4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Hierarchies count="35">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E1ED86-E64B-4552-9771-366B68723010}" name="PivotTable12" cacheId="126" applyNumberFormats="0" applyBorderFormats="0" applyFontFormats="0" applyPatternFormats="0" applyAlignmentFormats="0" applyWidthHeightFormats="1" dataCaption="Values" tag="09d0341c-d684-4033-995a-df0dd5b68bf6" updatedVersion="8" minRefreshableVersion="3" subtotalHiddenItems="1" itemPrintTitles="1" createdVersion="5" indent="0" outline="1" outlineData="1" multipleFieldFilters="0" chartFormat="14">
  <location ref="F78:F8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DA5A90-5406-4AB6-A21F-6644874594C1}" name="PivotTable11" cacheId="123" applyNumberFormats="0" applyBorderFormats="0" applyFontFormats="0" applyPatternFormats="0" applyAlignmentFormats="0" applyWidthHeightFormats="1" dataCaption="Values" tag="b74a75a1-6434-483f-8327-9f8e0f4ec8d8" updatedVersion="8" minRefreshableVersion="3" subtotalHiddenItems="1" itemPrintTitles="1" createdVersion="5" indent="0" outline="1" outlineData="1" multipleFieldFilters="0" chartFormat="14">
  <location ref="J74:K8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Count of Department Referral" fld="2" subtotal="count" baseField="0" baseItem="0"/>
  </dataFields>
  <chartFormats count="1">
    <chartFormat chart="1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3DAC53-DF1F-46CC-B270-329CCD1F3710}" name="PivotTable1" cacheId="96" applyNumberFormats="0" applyBorderFormats="0" applyFontFormats="0" applyPatternFormats="0" applyAlignmentFormats="0" applyWidthHeightFormats="1" dataCaption="Values" tag="1bce2e8d-6f74-4a3c-9091-bacc5ceeb3f1" updatedVersion="8" minRefreshableVersion="3"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AA5B0D-0697-47BB-A157-FC410691718A}" name="PivotTable6" cacheId="108" applyNumberFormats="0" applyBorderFormats="0" applyFontFormats="0" applyPatternFormats="0" applyAlignmentFormats="0" applyWidthHeightFormats="1" dataCaption="Values" tag="190d0ec3-20d2-4e6e-abbe-3936cfcfee85" updatedVersion="8" minRefreshableVersion="3" subtotalHiddenItems="1" itemPrintTitles="1" createdVersion="5" indent="0" outline="1" outlineData="1" multipleFieldFilters="0" chartFormat="37">
  <location ref="L9:M41"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21">
      <pivotArea collapsedLevelsAreSubtotals="1" fieldPosition="0">
        <references count="1">
          <reference field="0" count="0"/>
        </references>
      </pivotArea>
    </format>
    <format dxfId="20">
      <pivotArea grandRow="1" outline="0" collapsedLevelsAreSubtotals="1" fieldPosition="0"/>
    </format>
  </formats>
  <chartFormats count="3">
    <chartFormat chart="30"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4AA449-3956-455A-8112-3FF7823915D6}" name="PivotTable10" cacheId="120" applyNumberFormats="0" applyBorderFormats="0" applyFontFormats="0" applyPatternFormats="0" applyAlignmentFormats="0" applyWidthHeightFormats="1" dataCaption="Values" tag="f341c8cf-1632-42ae-b81d-3741dcd26899" updatedVersion="8" minRefreshableVersion="3" itemPrintTitles="1" createdVersion="5" indent="0" outline="1" outlineData="1" multipleFieldFilters="0" chartFormat="11">
  <location ref="J67:K7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DC874F9-B2FE-4184-A01B-14D7E0533650}" name="PivotTable5" cacheId="105" applyNumberFormats="0" applyBorderFormats="0" applyFontFormats="0" applyPatternFormats="0" applyAlignmentFormats="0" applyWidthHeightFormats="1" dataCaption="Values" tag="ddab6068-cf6c-4a49-a4ad-a421e1632652" updatedVersion="8" minRefreshableVersion="3" subtotalHiddenItems="1" itemPrintTitles="1" createdVersion="5" indent="0" outline="1" outlineData="1" multipleFieldFilters="0" chartFormat="27">
  <location ref="H9:I41"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2">
    <format dxfId="23">
      <pivotArea collapsedLevelsAreSubtotals="1" fieldPosition="0">
        <references count="1">
          <reference field="0" count="0"/>
        </references>
      </pivotArea>
    </format>
    <format dxfId="22">
      <pivotArea grandRow="1" outline="0" collapsedLevelsAreSubtotals="1" fieldPosition="0"/>
    </format>
  </formats>
  <chartFormats count="4">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498F274-4942-4004-B5E6-0D78F72C4FF6}"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F9403EB-FD32-41BD-B92A-E562BE4F2D2A}"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387948913">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D457E28-00AE-48B5-BB0B-93564841FCD5}"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387948913">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215E092-1623-445A-8BBF-F15B2456E6AD}" cache="Slicer_date__Month" caption="date (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8E606A86-9547-4065-B975-4E7DA295D51E}" cache="Slicer_date__Month" caption="date (Month)" showCaption="0" level="1" style="MYSTYLE2" rowHeight="234950"/>
  <slicer name="date (Year)" xr10:uid="{5009481C-F54B-4B23-9CC5-D4C74D3B7179}" cache="Slicer_date__Year" caption="date (Year)" columnCount="2" showCaption="0" level="1" style="MYSTYLE2"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F12F5C-BF9A-48EB-A07F-87010A388348}" name="Table_ExternalData_1" displayName="Table_ExternalData_1" ref="A3:M35" tableType="queryTable" totalsRowShown="0">
  <autoFilter ref="A3:M35" xr:uid="{93F12F5C-BF9A-48EB-A07F-87010A388348}"/>
  <tableColumns count="13">
    <tableColumn id="1" xr3:uid="{96ECB4AB-715B-4502-893F-93C7B8BECF91}" uniqueName="1" name="Hospital Emergency Room Data[Patient Id]" queryTableFieldId="1"/>
    <tableColumn id="2" xr3:uid="{42F57166-8DE7-46E7-B709-3EFA0136FD45}" uniqueName="2" name="Hospital Emergency Room Data[Patient Admission date]" queryTableFieldId="2" dataDxfId="25"/>
    <tableColumn id="3" xr3:uid="{9D703127-1F89-49C2-A7E9-ED10F5146003}" uniqueName="3" name="Hospital Emergency Room Data[Patient Admission time]" queryTableFieldId="3" dataDxfId="24"/>
    <tableColumn id="4" xr3:uid="{F4F068B3-6578-45E6-86A4-BAC381D08949}" uniqueName="4" name="Hospital Emergency Room Data[Merged]" queryTableFieldId="4"/>
    <tableColumn id="5" xr3:uid="{722B7AC8-5AC3-4336-ADCE-034D2439C6E9}" uniqueName="5" name="Hospital Emergency Room Data[Patient Gender]" queryTableFieldId="5"/>
    <tableColumn id="6" xr3:uid="{3B988E92-8E10-4D50-BF37-2DB637E2425D}" uniqueName="6" name="Hospital Emergency Room Data[Patient Age]" queryTableFieldId="6"/>
    <tableColumn id="7" xr3:uid="{AB4BCD46-A6F7-4C3B-B7E3-4F93B40B1BB9}" uniqueName="7" name="Hospital Emergency Room Data[Patient Race]" queryTableFieldId="7"/>
    <tableColumn id="8" xr3:uid="{473FD638-4E1C-4C27-859A-C1C375788CA0}" uniqueName="8" name="Hospital Emergency Room Data[Department Referral]" queryTableFieldId="8"/>
    <tableColumn id="9" xr3:uid="{AFD11107-58AE-4F09-BCB6-0F946F1E2EEC}" uniqueName="9" name="Hospital Emergency Room Data[Patient Admission Flag]" queryTableFieldId="9"/>
    <tableColumn id="10" xr3:uid="{A4333911-52B7-486B-B3EA-AB3E7A86DEBB}" uniqueName="10" name="Hospital Emergency Room Data[Patient Satisfaction Score]" queryTableFieldId="10"/>
    <tableColumn id="11" xr3:uid="{B01921B0-FFBD-4731-B16D-81BD2E45CD1C}" uniqueName="11" name="Hospital Emergency Room Data[Patient Waittime]" queryTableFieldId="11"/>
    <tableColumn id="12" xr3:uid="{6FB3C346-6782-447E-8C4A-243CB7916DD8}" uniqueName="12" name="Hospital Emergency Room Data[Age Group]" queryTableFieldId="12"/>
    <tableColumn id="13" xr3:uid="{47B63FB3-EC1D-40C8-B8F8-71C0446A0A5A}"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D7A39-8FE8-4AA4-AA78-5985B828EF2D}">
  <dimension ref="A1:M35"/>
  <sheetViews>
    <sheetView zoomScale="25" zoomScaleNormal="25" workbookViewId="0"/>
  </sheetViews>
  <sheetFormatPr defaultRowHeight="14.4" x14ac:dyDescent="0.3"/>
  <cols>
    <col min="1" max="1" width="39.6640625" bestFit="1" customWidth="1"/>
    <col min="2" max="3" width="51.21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10" t="s">
        <v>109</v>
      </c>
    </row>
    <row r="3" spans="1:13" x14ac:dyDescent="0.3">
      <c r="A3" t="s">
        <v>8</v>
      </c>
      <c r="B3" t="s">
        <v>9</v>
      </c>
      <c r="C3" t="s">
        <v>10</v>
      </c>
      <c r="D3" t="s">
        <v>11</v>
      </c>
      <c r="E3" t="s">
        <v>12</v>
      </c>
      <c r="F3" t="s">
        <v>13</v>
      </c>
      <c r="G3" t="s">
        <v>14</v>
      </c>
      <c r="H3" t="s">
        <v>15</v>
      </c>
      <c r="I3" t="s">
        <v>16</v>
      </c>
      <c r="J3" t="s">
        <v>17</v>
      </c>
      <c r="K3" t="s">
        <v>18</v>
      </c>
      <c r="L3" t="s">
        <v>19</v>
      </c>
      <c r="M3" t="s">
        <v>20</v>
      </c>
    </row>
    <row r="4" spans="1:13" x14ac:dyDescent="0.3">
      <c r="A4" t="s">
        <v>21</v>
      </c>
      <c r="B4" s="8">
        <v>45108</v>
      </c>
      <c r="C4" s="9">
        <v>0.93680555555555556</v>
      </c>
      <c r="D4" t="s">
        <v>22</v>
      </c>
      <c r="E4" t="s">
        <v>23</v>
      </c>
      <c r="F4">
        <v>56</v>
      </c>
      <c r="G4" t="s">
        <v>24</v>
      </c>
      <c r="H4" t="s">
        <v>25</v>
      </c>
      <c r="I4" t="s">
        <v>26</v>
      </c>
      <c r="K4">
        <v>15</v>
      </c>
      <c r="L4" t="s">
        <v>27</v>
      </c>
      <c r="M4" t="s">
        <v>28</v>
      </c>
    </row>
    <row r="5" spans="1:13" x14ac:dyDescent="0.3">
      <c r="A5" t="s">
        <v>29</v>
      </c>
      <c r="B5" s="8">
        <v>45474</v>
      </c>
      <c r="C5" s="9">
        <v>0.2076388888888889</v>
      </c>
      <c r="D5" t="s">
        <v>30</v>
      </c>
      <c r="E5" t="s">
        <v>31</v>
      </c>
      <c r="F5">
        <v>50</v>
      </c>
      <c r="G5" t="s">
        <v>24</v>
      </c>
      <c r="H5" t="s">
        <v>25</v>
      </c>
      <c r="I5" t="s">
        <v>32</v>
      </c>
      <c r="K5">
        <v>60</v>
      </c>
      <c r="L5" t="s">
        <v>33</v>
      </c>
      <c r="M5" t="s">
        <v>34</v>
      </c>
    </row>
    <row r="6" spans="1:13" x14ac:dyDescent="0.3">
      <c r="A6" t="s">
        <v>35</v>
      </c>
      <c r="B6" s="8">
        <v>45474</v>
      </c>
      <c r="C6" s="9">
        <v>0.53888888888888886</v>
      </c>
      <c r="D6" t="s">
        <v>36</v>
      </c>
      <c r="E6" t="s">
        <v>31</v>
      </c>
      <c r="F6">
        <v>13</v>
      </c>
      <c r="G6" t="s">
        <v>24</v>
      </c>
      <c r="H6" t="s">
        <v>25</v>
      </c>
      <c r="I6" t="s">
        <v>32</v>
      </c>
      <c r="K6">
        <v>49</v>
      </c>
      <c r="L6" t="s">
        <v>37</v>
      </c>
      <c r="M6" t="s">
        <v>34</v>
      </c>
    </row>
    <row r="7" spans="1:13" x14ac:dyDescent="0.3">
      <c r="A7" t="s">
        <v>38</v>
      </c>
      <c r="B7" s="8">
        <v>45108</v>
      </c>
      <c r="C7" s="9">
        <v>0.31180555555555556</v>
      </c>
      <c r="D7" t="s">
        <v>39</v>
      </c>
      <c r="E7" t="s">
        <v>23</v>
      </c>
      <c r="F7">
        <v>73</v>
      </c>
      <c r="G7" t="s">
        <v>24</v>
      </c>
      <c r="H7" t="s">
        <v>25</v>
      </c>
      <c r="I7" t="s">
        <v>32</v>
      </c>
      <c r="K7">
        <v>34</v>
      </c>
      <c r="L7" t="s">
        <v>40</v>
      </c>
      <c r="M7" t="s">
        <v>34</v>
      </c>
    </row>
    <row r="8" spans="1:13" x14ac:dyDescent="0.3">
      <c r="A8" t="s">
        <v>41</v>
      </c>
      <c r="B8" s="8">
        <v>45474</v>
      </c>
      <c r="C8" s="9">
        <v>0.34375</v>
      </c>
      <c r="D8" t="s">
        <v>42</v>
      </c>
      <c r="E8" t="s">
        <v>23</v>
      </c>
      <c r="F8">
        <v>9</v>
      </c>
      <c r="G8" t="s">
        <v>24</v>
      </c>
      <c r="H8" t="s">
        <v>25</v>
      </c>
      <c r="I8" t="s">
        <v>32</v>
      </c>
      <c r="K8">
        <v>34</v>
      </c>
      <c r="L8" t="s">
        <v>43</v>
      </c>
      <c r="M8" t="s">
        <v>34</v>
      </c>
    </row>
    <row r="9" spans="1:13" x14ac:dyDescent="0.3">
      <c r="A9" t="s">
        <v>44</v>
      </c>
      <c r="B9" s="8">
        <v>45108</v>
      </c>
      <c r="C9" s="9">
        <v>0.51111111111111107</v>
      </c>
      <c r="D9" t="s">
        <v>45</v>
      </c>
      <c r="E9" t="s">
        <v>23</v>
      </c>
      <c r="F9">
        <v>25</v>
      </c>
      <c r="G9" t="s">
        <v>24</v>
      </c>
      <c r="H9" t="s">
        <v>25</v>
      </c>
      <c r="I9" t="s">
        <v>32</v>
      </c>
      <c r="K9">
        <v>38</v>
      </c>
      <c r="L9" t="s">
        <v>46</v>
      </c>
      <c r="M9" t="s">
        <v>34</v>
      </c>
    </row>
    <row r="10" spans="1:13" x14ac:dyDescent="0.3">
      <c r="A10" t="s">
        <v>47</v>
      </c>
      <c r="B10" s="8">
        <v>45108</v>
      </c>
      <c r="C10" s="9">
        <v>4.027777777777778E-2</v>
      </c>
      <c r="D10" t="s">
        <v>48</v>
      </c>
      <c r="E10" t="s">
        <v>31</v>
      </c>
      <c r="F10">
        <v>51</v>
      </c>
      <c r="G10" t="s">
        <v>49</v>
      </c>
      <c r="H10" t="s">
        <v>25</v>
      </c>
      <c r="I10" t="s">
        <v>26</v>
      </c>
      <c r="K10">
        <v>32</v>
      </c>
      <c r="L10" t="s">
        <v>27</v>
      </c>
      <c r="M10" t="s">
        <v>34</v>
      </c>
    </row>
    <row r="11" spans="1:13" x14ac:dyDescent="0.3">
      <c r="A11" t="s">
        <v>50</v>
      </c>
      <c r="B11" s="8">
        <v>45108</v>
      </c>
      <c r="C11" s="9">
        <v>0.52638888888888891</v>
      </c>
      <c r="D11" t="s">
        <v>51</v>
      </c>
      <c r="E11" t="s">
        <v>23</v>
      </c>
      <c r="F11">
        <v>40</v>
      </c>
      <c r="G11" t="s">
        <v>49</v>
      </c>
      <c r="H11" t="s">
        <v>25</v>
      </c>
      <c r="I11" t="s">
        <v>26</v>
      </c>
      <c r="K11">
        <v>57</v>
      </c>
      <c r="L11" t="s">
        <v>52</v>
      </c>
      <c r="M11" t="s">
        <v>34</v>
      </c>
    </row>
    <row r="12" spans="1:13" x14ac:dyDescent="0.3">
      <c r="A12" t="s">
        <v>53</v>
      </c>
      <c r="B12" s="8">
        <v>45108</v>
      </c>
      <c r="C12" s="9">
        <v>0.9145833333333333</v>
      </c>
      <c r="D12" t="s">
        <v>54</v>
      </c>
      <c r="E12" t="s">
        <v>23</v>
      </c>
      <c r="F12">
        <v>31</v>
      </c>
      <c r="G12" t="s">
        <v>49</v>
      </c>
      <c r="H12" t="s">
        <v>25</v>
      </c>
      <c r="I12" t="s">
        <v>26</v>
      </c>
      <c r="K12">
        <v>47</v>
      </c>
      <c r="L12" t="s">
        <v>52</v>
      </c>
      <c r="M12" t="s">
        <v>34</v>
      </c>
    </row>
    <row r="13" spans="1:13" x14ac:dyDescent="0.3">
      <c r="A13" t="s">
        <v>55</v>
      </c>
      <c r="B13" s="8">
        <v>45108</v>
      </c>
      <c r="C13" s="9">
        <v>0.24861111111111112</v>
      </c>
      <c r="D13" t="s">
        <v>56</v>
      </c>
      <c r="E13" t="s">
        <v>31</v>
      </c>
      <c r="F13">
        <v>17</v>
      </c>
      <c r="G13" t="s">
        <v>57</v>
      </c>
      <c r="H13" t="s">
        <v>25</v>
      </c>
      <c r="I13" t="s">
        <v>26</v>
      </c>
      <c r="K13">
        <v>52</v>
      </c>
      <c r="L13" t="s">
        <v>37</v>
      </c>
      <c r="M13" t="s">
        <v>34</v>
      </c>
    </row>
    <row r="14" spans="1:13" x14ac:dyDescent="0.3">
      <c r="A14" t="s">
        <v>58</v>
      </c>
      <c r="B14" s="8">
        <v>45474</v>
      </c>
      <c r="C14" s="9">
        <v>0.81319444444444444</v>
      </c>
      <c r="D14" t="s">
        <v>59</v>
      </c>
      <c r="E14" t="s">
        <v>31</v>
      </c>
      <c r="F14">
        <v>31</v>
      </c>
      <c r="G14" t="s">
        <v>57</v>
      </c>
      <c r="H14" t="s">
        <v>25</v>
      </c>
      <c r="I14" t="s">
        <v>32</v>
      </c>
      <c r="K14">
        <v>31</v>
      </c>
      <c r="L14" t="s">
        <v>52</v>
      </c>
      <c r="M14" t="s">
        <v>34</v>
      </c>
    </row>
    <row r="15" spans="1:13" x14ac:dyDescent="0.3">
      <c r="A15" t="s">
        <v>60</v>
      </c>
      <c r="B15" s="8">
        <v>45108</v>
      </c>
      <c r="C15" s="9">
        <v>0.11597222222222223</v>
      </c>
      <c r="D15" t="s">
        <v>61</v>
      </c>
      <c r="E15" t="s">
        <v>23</v>
      </c>
      <c r="F15">
        <v>17</v>
      </c>
      <c r="G15" t="s">
        <v>57</v>
      </c>
      <c r="H15" t="s">
        <v>25</v>
      </c>
      <c r="I15" t="s">
        <v>26</v>
      </c>
      <c r="K15">
        <v>14</v>
      </c>
      <c r="L15" t="s">
        <v>37</v>
      </c>
      <c r="M15" t="s">
        <v>28</v>
      </c>
    </row>
    <row r="16" spans="1:13" x14ac:dyDescent="0.3">
      <c r="A16" t="s">
        <v>62</v>
      </c>
      <c r="B16" s="8">
        <v>45108</v>
      </c>
      <c r="C16" s="9">
        <v>0.28472222222222221</v>
      </c>
      <c r="D16" t="s">
        <v>63</v>
      </c>
      <c r="E16" t="s">
        <v>23</v>
      </c>
      <c r="F16">
        <v>40</v>
      </c>
      <c r="G16" t="s">
        <v>57</v>
      </c>
      <c r="H16" t="s">
        <v>25</v>
      </c>
      <c r="I16" t="s">
        <v>32</v>
      </c>
      <c r="K16">
        <v>16</v>
      </c>
      <c r="L16" t="s">
        <v>52</v>
      </c>
      <c r="M16" t="s">
        <v>28</v>
      </c>
    </row>
    <row r="17" spans="1:13" x14ac:dyDescent="0.3">
      <c r="A17" t="s">
        <v>64</v>
      </c>
      <c r="B17" s="8">
        <v>45108</v>
      </c>
      <c r="C17" s="9">
        <v>0.1076388888888889</v>
      </c>
      <c r="D17" t="s">
        <v>65</v>
      </c>
      <c r="E17" t="s">
        <v>23</v>
      </c>
      <c r="F17">
        <v>10</v>
      </c>
      <c r="G17" t="s">
        <v>57</v>
      </c>
      <c r="H17" t="s">
        <v>25</v>
      </c>
      <c r="I17" t="s">
        <v>32</v>
      </c>
      <c r="K17">
        <v>59</v>
      </c>
      <c r="L17" t="s">
        <v>43</v>
      </c>
      <c r="M17" t="s">
        <v>34</v>
      </c>
    </row>
    <row r="18" spans="1:13" x14ac:dyDescent="0.3">
      <c r="A18" t="s">
        <v>66</v>
      </c>
      <c r="B18" s="8">
        <v>45108</v>
      </c>
      <c r="C18" s="9">
        <v>0.54861111111111116</v>
      </c>
      <c r="D18" t="s">
        <v>67</v>
      </c>
      <c r="E18" t="s">
        <v>23</v>
      </c>
      <c r="F18">
        <v>71</v>
      </c>
      <c r="G18" t="s">
        <v>68</v>
      </c>
      <c r="H18" t="s">
        <v>25</v>
      </c>
      <c r="I18" t="s">
        <v>32</v>
      </c>
      <c r="K18">
        <v>47</v>
      </c>
      <c r="L18" t="s">
        <v>40</v>
      </c>
      <c r="M18" t="s">
        <v>34</v>
      </c>
    </row>
    <row r="19" spans="1:13" x14ac:dyDescent="0.3">
      <c r="A19" t="s">
        <v>69</v>
      </c>
      <c r="B19" s="8">
        <v>45474</v>
      </c>
      <c r="C19" s="9">
        <v>0.63472222222222219</v>
      </c>
      <c r="D19" t="s">
        <v>70</v>
      </c>
      <c r="E19" t="s">
        <v>31</v>
      </c>
      <c r="F19">
        <v>44</v>
      </c>
      <c r="G19" t="s">
        <v>71</v>
      </c>
      <c r="H19" t="s">
        <v>25</v>
      </c>
      <c r="I19" t="s">
        <v>32</v>
      </c>
      <c r="K19">
        <v>50</v>
      </c>
      <c r="L19" t="s">
        <v>33</v>
      </c>
      <c r="M19" t="s">
        <v>34</v>
      </c>
    </row>
    <row r="20" spans="1:13" x14ac:dyDescent="0.3">
      <c r="A20" t="s">
        <v>72</v>
      </c>
      <c r="B20" s="8">
        <v>45108</v>
      </c>
      <c r="C20" s="9">
        <v>0.41875000000000001</v>
      </c>
      <c r="D20" t="s">
        <v>73</v>
      </c>
      <c r="E20" t="s">
        <v>31</v>
      </c>
      <c r="F20">
        <v>5</v>
      </c>
      <c r="G20" t="s">
        <v>74</v>
      </c>
      <c r="H20" t="s">
        <v>75</v>
      </c>
      <c r="I20" t="s">
        <v>26</v>
      </c>
      <c r="K20">
        <v>57</v>
      </c>
      <c r="L20" t="s">
        <v>43</v>
      </c>
      <c r="M20" t="s">
        <v>34</v>
      </c>
    </row>
    <row r="21" spans="1:13" x14ac:dyDescent="0.3">
      <c r="A21" t="s">
        <v>76</v>
      </c>
      <c r="B21" s="8">
        <v>45474</v>
      </c>
      <c r="C21" s="9">
        <v>0.65277777777777779</v>
      </c>
      <c r="D21" t="s">
        <v>77</v>
      </c>
      <c r="E21" t="s">
        <v>23</v>
      </c>
      <c r="F21">
        <v>23</v>
      </c>
      <c r="G21" t="s">
        <v>71</v>
      </c>
      <c r="H21" t="s">
        <v>75</v>
      </c>
      <c r="I21" t="s">
        <v>26</v>
      </c>
      <c r="K21">
        <v>27</v>
      </c>
      <c r="L21" t="s">
        <v>46</v>
      </c>
      <c r="M21" t="s">
        <v>28</v>
      </c>
    </row>
    <row r="22" spans="1:13" x14ac:dyDescent="0.3">
      <c r="A22" t="s">
        <v>78</v>
      </c>
      <c r="B22" s="8">
        <v>45108</v>
      </c>
      <c r="C22" s="9">
        <v>0.50486111111111109</v>
      </c>
      <c r="D22" t="s">
        <v>79</v>
      </c>
      <c r="E22" t="s">
        <v>31</v>
      </c>
      <c r="F22">
        <v>51</v>
      </c>
      <c r="G22" t="s">
        <v>68</v>
      </c>
      <c r="H22" t="s">
        <v>75</v>
      </c>
      <c r="I22" t="s">
        <v>32</v>
      </c>
      <c r="K22">
        <v>40</v>
      </c>
      <c r="L22" t="s">
        <v>27</v>
      </c>
      <c r="M22" t="s">
        <v>34</v>
      </c>
    </row>
    <row r="23" spans="1:13" x14ac:dyDescent="0.3">
      <c r="A23" t="s">
        <v>80</v>
      </c>
      <c r="B23" s="8">
        <v>45474</v>
      </c>
      <c r="C23" s="9">
        <v>8.3333333333333329E-2</v>
      </c>
      <c r="D23" t="s">
        <v>81</v>
      </c>
      <c r="E23" t="s">
        <v>23</v>
      </c>
      <c r="F23">
        <v>2</v>
      </c>
      <c r="G23" t="s">
        <v>82</v>
      </c>
      <c r="H23" t="s">
        <v>75</v>
      </c>
      <c r="I23" t="s">
        <v>26</v>
      </c>
      <c r="K23">
        <v>27</v>
      </c>
      <c r="L23" t="s">
        <v>43</v>
      </c>
      <c r="M23" t="s">
        <v>28</v>
      </c>
    </row>
    <row r="24" spans="1:13" x14ac:dyDescent="0.3">
      <c r="A24" t="s">
        <v>83</v>
      </c>
      <c r="B24" s="8">
        <v>45474</v>
      </c>
      <c r="C24" s="9">
        <v>2.5000000000000001E-2</v>
      </c>
      <c r="D24" t="s">
        <v>84</v>
      </c>
      <c r="E24" t="s">
        <v>31</v>
      </c>
      <c r="F24">
        <v>49</v>
      </c>
      <c r="G24" t="s">
        <v>49</v>
      </c>
      <c r="H24" t="s">
        <v>75</v>
      </c>
      <c r="I24" t="s">
        <v>26</v>
      </c>
      <c r="K24">
        <v>21</v>
      </c>
      <c r="L24" t="s">
        <v>33</v>
      </c>
      <c r="M24" t="s">
        <v>28</v>
      </c>
    </row>
    <row r="25" spans="1:13" x14ac:dyDescent="0.3">
      <c r="A25" t="s">
        <v>85</v>
      </c>
      <c r="B25" s="8">
        <v>45474</v>
      </c>
      <c r="C25" s="9">
        <v>0.37847222222222221</v>
      </c>
      <c r="D25" t="s">
        <v>86</v>
      </c>
      <c r="E25" t="s">
        <v>23</v>
      </c>
      <c r="F25">
        <v>53</v>
      </c>
      <c r="G25" t="s">
        <v>24</v>
      </c>
      <c r="H25" t="s">
        <v>87</v>
      </c>
      <c r="I25" t="s">
        <v>26</v>
      </c>
      <c r="K25">
        <v>56</v>
      </c>
      <c r="L25" t="s">
        <v>27</v>
      </c>
      <c r="M25" t="s">
        <v>34</v>
      </c>
    </row>
    <row r="26" spans="1:13" x14ac:dyDescent="0.3">
      <c r="A26" t="s">
        <v>88</v>
      </c>
      <c r="B26" s="8">
        <v>45474</v>
      </c>
      <c r="C26" s="9">
        <v>0.92013888888888884</v>
      </c>
      <c r="D26" t="s">
        <v>89</v>
      </c>
      <c r="E26" t="s">
        <v>23</v>
      </c>
      <c r="F26">
        <v>10</v>
      </c>
      <c r="G26" t="s">
        <v>82</v>
      </c>
      <c r="H26" t="s">
        <v>90</v>
      </c>
      <c r="I26" t="s">
        <v>32</v>
      </c>
      <c r="J26">
        <v>2</v>
      </c>
      <c r="K26">
        <v>42</v>
      </c>
      <c r="L26" t="s">
        <v>43</v>
      </c>
      <c r="M26" t="s">
        <v>34</v>
      </c>
    </row>
    <row r="27" spans="1:13" x14ac:dyDescent="0.3">
      <c r="A27" t="s">
        <v>91</v>
      </c>
      <c r="B27" s="8">
        <v>45474</v>
      </c>
      <c r="C27" s="9">
        <v>0.6791666666666667</v>
      </c>
      <c r="D27" t="s">
        <v>92</v>
      </c>
      <c r="E27" t="s">
        <v>31</v>
      </c>
      <c r="F27">
        <v>39</v>
      </c>
      <c r="G27" t="s">
        <v>57</v>
      </c>
      <c r="H27" t="s">
        <v>87</v>
      </c>
      <c r="I27" t="s">
        <v>26</v>
      </c>
      <c r="J27">
        <v>5</v>
      </c>
      <c r="K27">
        <v>16</v>
      </c>
      <c r="L27" t="s">
        <v>52</v>
      </c>
      <c r="M27" t="s">
        <v>28</v>
      </c>
    </row>
    <row r="28" spans="1:13" x14ac:dyDescent="0.3">
      <c r="A28" t="s">
        <v>93</v>
      </c>
      <c r="B28" s="8">
        <v>45474</v>
      </c>
      <c r="C28" s="9">
        <v>0.49305555555555558</v>
      </c>
      <c r="D28" t="s">
        <v>94</v>
      </c>
      <c r="E28" t="s">
        <v>23</v>
      </c>
      <c r="F28">
        <v>29</v>
      </c>
      <c r="G28" t="s">
        <v>57</v>
      </c>
      <c r="H28" t="s">
        <v>75</v>
      </c>
      <c r="I28" t="s">
        <v>32</v>
      </c>
      <c r="J28">
        <v>4</v>
      </c>
      <c r="K28">
        <v>18</v>
      </c>
      <c r="L28" t="s">
        <v>46</v>
      </c>
      <c r="M28" t="s">
        <v>28</v>
      </c>
    </row>
    <row r="29" spans="1:13" x14ac:dyDescent="0.3">
      <c r="A29" t="s">
        <v>95</v>
      </c>
      <c r="B29" s="8">
        <v>45474</v>
      </c>
      <c r="C29" s="9">
        <v>8.4027777777777785E-2</v>
      </c>
      <c r="D29" t="s">
        <v>96</v>
      </c>
      <c r="E29" t="s">
        <v>23</v>
      </c>
      <c r="F29">
        <v>11</v>
      </c>
      <c r="G29" t="s">
        <v>68</v>
      </c>
      <c r="H29" t="s">
        <v>25</v>
      </c>
      <c r="I29" t="s">
        <v>26</v>
      </c>
      <c r="J29">
        <v>8</v>
      </c>
      <c r="K29">
        <v>40</v>
      </c>
      <c r="L29" t="s">
        <v>37</v>
      </c>
      <c r="M29" t="s">
        <v>34</v>
      </c>
    </row>
    <row r="30" spans="1:13" x14ac:dyDescent="0.3">
      <c r="A30" t="s">
        <v>97</v>
      </c>
      <c r="B30" s="8">
        <v>45474</v>
      </c>
      <c r="C30" s="9">
        <v>0.65416666666666667</v>
      </c>
      <c r="D30" t="s">
        <v>98</v>
      </c>
      <c r="E30" t="s">
        <v>23</v>
      </c>
      <c r="F30">
        <v>2</v>
      </c>
      <c r="G30" t="s">
        <v>74</v>
      </c>
      <c r="H30" t="s">
        <v>25</v>
      </c>
      <c r="I30" t="s">
        <v>26</v>
      </c>
      <c r="J30">
        <v>1</v>
      </c>
      <c r="K30">
        <v>30</v>
      </c>
      <c r="L30" t="s">
        <v>43</v>
      </c>
      <c r="M30" t="s">
        <v>28</v>
      </c>
    </row>
    <row r="31" spans="1:13" x14ac:dyDescent="0.3">
      <c r="A31" t="s">
        <v>99</v>
      </c>
      <c r="B31" s="8">
        <v>45474</v>
      </c>
      <c r="C31" s="9">
        <v>6.3194444444444442E-2</v>
      </c>
      <c r="D31" t="s">
        <v>100</v>
      </c>
      <c r="E31" t="s">
        <v>31</v>
      </c>
      <c r="F31">
        <v>19</v>
      </c>
      <c r="G31" t="s">
        <v>57</v>
      </c>
      <c r="H31" t="s">
        <v>25</v>
      </c>
      <c r="I31" t="s">
        <v>32</v>
      </c>
      <c r="J31">
        <v>4</v>
      </c>
      <c r="K31">
        <v>45</v>
      </c>
      <c r="L31" t="s">
        <v>37</v>
      </c>
      <c r="M31" t="s">
        <v>34</v>
      </c>
    </row>
    <row r="32" spans="1:13" x14ac:dyDescent="0.3">
      <c r="A32" t="s">
        <v>101</v>
      </c>
      <c r="B32" s="8">
        <v>45108</v>
      </c>
      <c r="C32" s="9">
        <v>0.44930555555555557</v>
      </c>
      <c r="D32" t="s">
        <v>102</v>
      </c>
      <c r="E32" t="s">
        <v>31</v>
      </c>
      <c r="F32">
        <v>4</v>
      </c>
      <c r="G32" t="s">
        <v>49</v>
      </c>
      <c r="H32" t="s">
        <v>25</v>
      </c>
      <c r="I32" t="s">
        <v>32</v>
      </c>
      <c r="J32">
        <v>2</v>
      </c>
      <c r="K32">
        <v>26</v>
      </c>
      <c r="L32" t="s">
        <v>43</v>
      </c>
      <c r="M32" t="s">
        <v>28</v>
      </c>
    </row>
    <row r="33" spans="1:13" x14ac:dyDescent="0.3">
      <c r="A33" t="s">
        <v>103</v>
      </c>
      <c r="B33" s="8">
        <v>45108</v>
      </c>
      <c r="C33" s="9">
        <v>0.30208333333333331</v>
      </c>
      <c r="D33" t="s">
        <v>104</v>
      </c>
      <c r="E33" t="s">
        <v>23</v>
      </c>
      <c r="F33">
        <v>2</v>
      </c>
      <c r="G33" t="s">
        <v>49</v>
      </c>
      <c r="H33" t="s">
        <v>25</v>
      </c>
      <c r="I33" t="s">
        <v>26</v>
      </c>
      <c r="J33">
        <v>2</v>
      </c>
      <c r="K33">
        <v>39</v>
      </c>
      <c r="L33" t="s">
        <v>43</v>
      </c>
      <c r="M33" t="s">
        <v>34</v>
      </c>
    </row>
    <row r="34" spans="1:13" x14ac:dyDescent="0.3">
      <c r="A34" t="s">
        <v>105</v>
      </c>
      <c r="B34" s="8">
        <v>45474</v>
      </c>
      <c r="C34" s="9">
        <v>0.66249999999999998</v>
      </c>
      <c r="D34" t="s">
        <v>106</v>
      </c>
      <c r="E34" t="s">
        <v>31</v>
      </c>
      <c r="F34">
        <v>53</v>
      </c>
      <c r="G34" t="s">
        <v>24</v>
      </c>
      <c r="H34" t="s">
        <v>25</v>
      </c>
      <c r="I34" t="s">
        <v>32</v>
      </c>
      <c r="J34">
        <v>0</v>
      </c>
      <c r="K34">
        <v>44</v>
      </c>
      <c r="L34" t="s">
        <v>27</v>
      </c>
      <c r="M34" t="s">
        <v>34</v>
      </c>
    </row>
    <row r="35" spans="1:13" x14ac:dyDescent="0.3">
      <c r="A35" t="s">
        <v>107</v>
      </c>
      <c r="B35" s="8">
        <v>45474</v>
      </c>
      <c r="C35" s="9">
        <v>0.42569444444444443</v>
      </c>
      <c r="D35" t="s">
        <v>108</v>
      </c>
      <c r="E35" t="s">
        <v>31</v>
      </c>
      <c r="F35">
        <v>49</v>
      </c>
      <c r="G35" t="s">
        <v>24</v>
      </c>
      <c r="H35" t="s">
        <v>25</v>
      </c>
      <c r="I35" t="s">
        <v>32</v>
      </c>
      <c r="J35">
        <v>9</v>
      </c>
      <c r="K35">
        <v>38</v>
      </c>
      <c r="L35" t="s">
        <v>33</v>
      </c>
      <c r="M35"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27AD1-B9D4-4A50-94E0-D535D33C5105}">
  <dimension ref="A6:M83"/>
  <sheetViews>
    <sheetView topLeftCell="A2" zoomScale="81" workbookViewId="0">
      <selection activeCell="F90" sqref="F90"/>
    </sheetView>
  </sheetViews>
  <sheetFormatPr defaultRowHeight="14.4" x14ac:dyDescent="0.3"/>
  <cols>
    <col min="1" max="1" width="23.88671875" bestFit="1" customWidth="1"/>
    <col min="2" max="2" width="8.77734375" customWidth="1"/>
    <col min="4" max="4" width="15.77734375" customWidth="1"/>
    <col min="5" max="5" width="7.21875" customWidth="1"/>
    <col min="6" max="6" width="14.109375" customWidth="1"/>
    <col min="7" max="7" width="18" customWidth="1"/>
    <col min="8" max="8" width="17.88671875" bestFit="1" customWidth="1"/>
    <col min="11" max="11" width="26.21875" customWidth="1"/>
  </cols>
  <sheetData>
    <row r="6" spans="1:13" x14ac:dyDescent="0.3">
      <c r="A6" t="s">
        <v>1</v>
      </c>
    </row>
    <row r="7" spans="1:13" x14ac:dyDescent="0.3">
      <c r="A7" t="s">
        <v>0</v>
      </c>
    </row>
    <row r="8" spans="1:13" x14ac:dyDescent="0.3">
      <c r="A8" s="16">
        <v>506</v>
      </c>
      <c r="D8" s="1" t="s">
        <v>5</v>
      </c>
      <c r="E8" t="s">
        <v>0</v>
      </c>
    </row>
    <row r="9" spans="1:13" x14ac:dyDescent="0.3">
      <c r="D9" s="4" t="s">
        <v>126</v>
      </c>
      <c r="E9" s="16">
        <v>19</v>
      </c>
      <c r="H9" s="1" t="s">
        <v>5</v>
      </c>
      <c r="I9" t="s">
        <v>3</v>
      </c>
      <c r="L9" s="1" t="s">
        <v>5</v>
      </c>
      <c r="M9" t="s">
        <v>4</v>
      </c>
    </row>
    <row r="10" spans="1:13" x14ac:dyDescent="0.3">
      <c r="D10" s="4" t="s">
        <v>127</v>
      </c>
      <c r="E10" s="16">
        <v>24</v>
      </c>
      <c r="H10" s="4" t="s">
        <v>126</v>
      </c>
      <c r="I10" s="2">
        <v>34.526315789473685</v>
      </c>
      <c r="L10" s="4" t="s">
        <v>126</v>
      </c>
      <c r="M10" s="2">
        <v>7.2</v>
      </c>
    </row>
    <row r="11" spans="1:13" x14ac:dyDescent="0.3">
      <c r="D11" s="4" t="s">
        <v>128</v>
      </c>
      <c r="E11" s="16">
        <v>24</v>
      </c>
      <c r="H11" s="4" t="s">
        <v>127</v>
      </c>
      <c r="I11" s="2">
        <v>33.708333333333336</v>
      </c>
      <c r="L11" s="4" t="s">
        <v>127</v>
      </c>
      <c r="M11" s="2">
        <v>6</v>
      </c>
    </row>
    <row r="12" spans="1:13" x14ac:dyDescent="0.3">
      <c r="A12" t="s">
        <v>2</v>
      </c>
      <c r="D12" s="4" t="s">
        <v>129</v>
      </c>
      <c r="E12" s="16">
        <v>14</v>
      </c>
      <c r="H12" s="4" t="s">
        <v>128</v>
      </c>
      <c r="I12" s="2">
        <v>36.291666666666664</v>
      </c>
      <c r="L12" s="4" t="s">
        <v>128</v>
      </c>
      <c r="M12" s="2">
        <v>1.5</v>
      </c>
    </row>
    <row r="13" spans="1:13" x14ac:dyDescent="0.3">
      <c r="A13" t="s">
        <v>3</v>
      </c>
      <c r="D13" s="4" t="s">
        <v>130</v>
      </c>
      <c r="E13" s="16">
        <v>14</v>
      </c>
      <c r="H13" s="4" t="s">
        <v>129</v>
      </c>
      <c r="I13" s="2">
        <v>35.071428571428569</v>
      </c>
      <c r="L13" s="4" t="s">
        <v>129</v>
      </c>
      <c r="M13" s="2">
        <v>2.75</v>
      </c>
    </row>
    <row r="14" spans="1:13" x14ac:dyDescent="0.3">
      <c r="A14" s="2">
        <v>35.879446640316203</v>
      </c>
      <c r="D14" s="4" t="s">
        <v>131</v>
      </c>
      <c r="E14" s="16">
        <v>16</v>
      </c>
      <c r="H14" s="4" t="s">
        <v>130</v>
      </c>
      <c r="I14" s="2">
        <v>31.571428571428573</v>
      </c>
      <c r="L14" s="4" t="s">
        <v>130</v>
      </c>
      <c r="M14" s="2">
        <v>5</v>
      </c>
    </row>
    <row r="15" spans="1:13" x14ac:dyDescent="0.3">
      <c r="D15" s="4" t="s">
        <v>132</v>
      </c>
      <c r="E15" s="16">
        <v>26</v>
      </c>
      <c r="H15" s="4" t="s">
        <v>131</v>
      </c>
      <c r="I15" s="2">
        <v>31.8125</v>
      </c>
      <c r="L15" s="4" t="s">
        <v>131</v>
      </c>
      <c r="M15" s="2">
        <v>5.5</v>
      </c>
    </row>
    <row r="16" spans="1:13" x14ac:dyDescent="0.3">
      <c r="D16" s="4" t="s">
        <v>133</v>
      </c>
      <c r="E16" s="16">
        <v>14</v>
      </c>
      <c r="H16" s="4" t="s">
        <v>132</v>
      </c>
      <c r="I16" s="2">
        <v>36.846153846153847</v>
      </c>
      <c r="L16" s="4" t="s">
        <v>132</v>
      </c>
      <c r="M16" s="2">
        <v>5.0909090909090908</v>
      </c>
    </row>
    <row r="17" spans="1:13" x14ac:dyDescent="0.3">
      <c r="D17" s="4" t="s">
        <v>134</v>
      </c>
      <c r="E17" s="16">
        <v>22</v>
      </c>
      <c r="H17" s="4" t="s">
        <v>133</v>
      </c>
      <c r="I17" s="2">
        <v>34.071428571428569</v>
      </c>
      <c r="L17" s="4" t="s">
        <v>133</v>
      </c>
      <c r="M17" s="2">
        <v>7.666666666666667</v>
      </c>
    </row>
    <row r="18" spans="1:13" x14ac:dyDescent="0.3">
      <c r="A18" t="s">
        <v>4</v>
      </c>
      <c r="D18" s="4" t="s">
        <v>135</v>
      </c>
      <c r="E18" s="16">
        <v>18</v>
      </c>
      <c r="H18" s="4" t="s">
        <v>134</v>
      </c>
      <c r="I18" s="2">
        <v>33</v>
      </c>
      <c r="L18" s="4" t="s">
        <v>134</v>
      </c>
      <c r="M18" s="2">
        <v>3.5</v>
      </c>
    </row>
    <row r="19" spans="1:13" x14ac:dyDescent="0.3">
      <c r="A19" s="2">
        <v>5.3277310924369745</v>
      </c>
      <c r="D19" s="4" t="s">
        <v>136</v>
      </c>
      <c r="E19" s="16">
        <v>20</v>
      </c>
      <c r="H19" s="4" t="s">
        <v>135</v>
      </c>
      <c r="I19" s="2">
        <v>40.222222222222221</v>
      </c>
      <c r="L19" s="4" t="s">
        <v>135</v>
      </c>
      <c r="M19" s="2">
        <v>3.6666666666666665</v>
      </c>
    </row>
    <row r="20" spans="1:13" x14ac:dyDescent="0.3">
      <c r="D20" s="4" t="s">
        <v>137</v>
      </c>
      <c r="E20" s="16">
        <v>13</v>
      </c>
      <c r="H20" s="4" t="s">
        <v>136</v>
      </c>
      <c r="I20" s="2">
        <v>42.05</v>
      </c>
      <c r="L20" s="4" t="s">
        <v>136</v>
      </c>
      <c r="M20" s="2">
        <v>3.8</v>
      </c>
    </row>
    <row r="21" spans="1:13" x14ac:dyDescent="0.3">
      <c r="D21" s="4" t="s">
        <v>138</v>
      </c>
      <c r="E21" s="16">
        <v>13</v>
      </c>
      <c r="H21" s="4" t="s">
        <v>137</v>
      </c>
      <c r="I21" s="2">
        <v>42.615384615384613</v>
      </c>
      <c r="L21" s="4" t="s">
        <v>137</v>
      </c>
      <c r="M21" s="2">
        <v>1</v>
      </c>
    </row>
    <row r="22" spans="1:13" x14ac:dyDescent="0.3">
      <c r="D22" s="4" t="s">
        <v>139</v>
      </c>
      <c r="E22" s="16">
        <v>14</v>
      </c>
      <c r="H22" s="4" t="s">
        <v>138</v>
      </c>
      <c r="I22" s="2">
        <v>40.46153846153846</v>
      </c>
      <c r="L22" s="4" t="s">
        <v>138</v>
      </c>
      <c r="M22" s="2">
        <v>7</v>
      </c>
    </row>
    <row r="23" spans="1:13" x14ac:dyDescent="0.3">
      <c r="D23" s="4" t="s">
        <v>140</v>
      </c>
      <c r="E23" s="16">
        <v>13</v>
      </c>
      <c r="H23" s="4" t="s">
        <v>139</v>
      </c>
      <c r="I23" s="2">
        <v>34.071428571428569</v>
      </c>
      <c r="L23" s="4" t="s">
        <v>139</v>
      </c>
      <c r="M23" s="2">
        <v>5</v>
      </c>
    </row>
    <row r="24" spans="1:13" x14ac:dyDescent="0.3">
      <c r="D24" s="4" t="s">
        <v>141</v>
      </c>
      <c r="E24" s="16">
        <v>18</v>
      </c>
      <c r="H24" s="4" t="s">
        <v>140</v>
      </c>
      <c r="I24" s="2">
        <v>33.92307692307692</v>
      </c>
      <c r="L24" s="4" t="s">
        <v>140</v>
      </c>
      <c r="M24" s="2">
        <v>4.25</v>
      </c>
    </row>
    <row r="25" spans="1:13" x14ac:dyDescent="0.3">
      <c r="D25" s="4" t="s">
        <v>142</v>
      </c>
      <c r="E25" s="16">
        <v>12</v>
      </c>
      <c r="H25" s="4" t="s">
        <v>141</v>
      </c>
      <c r="I25" s="2">
        <v>43.166666666666664</v>
      </c>
      <c r="L25" s="4" t="s">
        <v>141</v>
      </c>
      <c r="M25" s="2">
        <v>4</v>
      </c>
    </row>
    <row r="26" spans="1:13" x14ac:dyDescent="0.3">
      <c r="D26" s="4" t="s">
        <v>143</v>
      </c>
      <c r="E26" s="16">
        <v>11</v>
      </c>
      <c r="H26" s="4" t="s">
        <v>142</v>
      </c>
      <c r="I26" s="2">
        <v>42.25</v>
      </c>
      <c r="L26" s="4" t="s">
        <v>142</v>
      </c>
      <c r="M26" s="2">
        <v>7.333333333333333</v>
      </c>
    </row>
    <row r="27" spans="1:13" x14ac:dyDescent="0.3">
      <c r="D27" s="4" t="s">
        <v>144</v>
      </c>
      <c r="E27" s="16">
        <v>14</v>
      </c>
      <c r="H27" s="4" t="s">
        <v>143</v>
      </c>
      <c r="I27" s="2">
        <v>44.090909090909093</v>
      </c>
      <c r="L27" s="4" t="s">
        <v>143</v>
      </c>
      <c r="M27" s="2">
        <v>9</v>
      </c>
    </row>
    <row r="28" spans="1:13" x14ac:dyDescent="0.3">
      <c r="D28" s="4" t="s">
        <v>145</v>
      </c>
      <c r="E28" s="16">
        <v>12</v>
      </c>
      <c r="H28" s="4" t="s">
        <v>144</v>
      </c>
      <c r="I28" s="2">
        <v>39</v>
      </c>
      <c r="L28" s="4" t="s">
        <v>144</v>
      </c>
      <c r="M28" s="2">
        <v>5.25</v>
      </c>
    </row>
    <row r="29" spans="1:13" x14ac:dyDescent="0.3">
      <c r="D29" s="4" t="s">
        <v>146</v>
      </c>
      <c r="E29" s="16">
        <v>16</v>
      </c>
      <c r="H29" s="4" t="s">
        <v>145</v>
      </c>
      <c r="I29" s="2">
        <v>31.25</v>
      </c>
      <c r="L29" s="4" t="s">
        <v>145</v>
      </c>
      <c r="M29" s="2">
        <v>6.6</v>
      </c>
    </row>
    <row r="30" spans="1:13" x14ac:dyDescent="0.3">
      <c r="D30" s="4" t="s">
        <v>147</v>
      </c>
      <c r="E30" s="16">
        <v>16</v>
      </c>
      <c r="H30" s="4" t="s">
        <v>146</v>
      </c>
      <c r="I30" s="2">
        <v>28.5</v>
      </c>
      <c r="L30" s="4" t="s">
        <v>146</v>
      </c>
      <c r="M30" s="2">
        <v>6.25</v>
      </c>
    </row>
    <row r="31" spans="1:13" x14ac:dyDescent="0.3">
      <c r="D31" s="4" t="s">
        <v>148</v>
      </c>
      <c r="E31" s="16">
        <v>15</v>
      </c>
      <c r="H31" s="4" t="s">
        <v>147</v>
      </c>
      <c r="I31" s="2">
        <v>34.0625</v>
      </c>
      <c r="L31" s="4" t="s">
        <v>147</v>
      </c>
      <c r="M31" s="2">
        <v>6.333333333333333</v>
      </c>
    </row>
    <row r="32" spans="1:13" x14ac:dyDescent="0.3">
      <c r="D32" s="4" t="s">
        <v>149</v>
      </c>
      <c r="E32" s="16">
        <v>22</v>
      </c>
      <c r="H32" s="4" t="s">
        <v>148</v>
      </c>
      <c r="I32" s="2">
        <v>25.2</v>
      </c>
      <c r="L32" s="4" t="s">
        <v>148</v>
      </c>
      <c r="M32" s="2">
        <v>7</v>
      </c>
    </row>
    <row r="33" spans="4:13" x14ac:dyDescent="0.3">
      <c r="D33" s="4" t="s">
        <v>150</v>
      </c>
      <c r="E33" s="16">
        <v>18</v>
      </c>
      <c r="H33" s="4" t="s">
        <v>149</v>
      </c>
      <c r="I33" s="2">
        <v>35.863636363636367</v>
      </c>
      <c r="L33" s="4" t="s">
        <v>149</v>
      </c>
      <c r="M33" s="2">
        <v>5.666666666666667</v>
      </c>
    </row>
    <row r="34" spans="4:13" x14ac:dyDescent="0.3">
      <c r="D34" s="4" t="s">
        <v>151</v>
      </c>
      <c r="E34" s="16">
        <v>10</v>
      </c>
      <c r="H34" s="4" t="s">
        <v>150</v>
      </c>
      <c r="I34" s="2">
        <v>39.833333333333336</v>
      </c>
      <c r="L34" s="4" t="s">
        <v>150</v>
      </c>
      <c r="M34" s="2">
        <v>3.3333333333333335</v>
      </c>
    </row>
    <row r="35" spans="4:13" x14ac:dyDescent="0.3">
      <c r="D35" s="4" t="s">
        <v>152</v>
      </c>
      <c r="E35" s="16">
        <v>17</v>
      </c>
      <c r="H35" s="4" t="s">
        <v>151</v>
      </c>
      <c r="I35" s="2">
        <v>37</v>
      </c>
      <c r="L35" s="4" t="s">
        <v>151</v>
      </c>
      <c r="M35" s="2">
        <v>4.75</v>
      </c>
    </row>
    <row r="36" spans="4:13" x14ac:dyDescent="0.3">
      <c r="D36" s="4" t="s">
        <v>153</v>
      </c>
      <c r="E36" s="16">
        <v>17</v>
      </c>
      <c r="H36" s="4" t="s">
        <v>152</v>
      </c>
      <c r="I36" s="2">
        <v>39.411764705882355</v>
      </c>
      <c r="L36" s="4" t="s">
        <v>152</v>
      </c>
      <c r="M36" s="2">
        <v>2</v>
      </c>
    </row>
    <row r="37" spans="4:13" x14ac:dyDescent="0.3">
      <c r="D37" s="4" t="s">
        <v>154</v>
      </c>
      <c r="E37" s="16">
        <v>12</v>
      </c>
      <c r="H37" s="4" t="s">
        <v>153</v>
      </c>
      <c r="I37" s="2">
        <v>30.294117647058822</v>
      </c>
      <c r="L37" s="4" t="s">
        <v>153</v>
      </c>
      <c r="M37" s="2">
        <v>9.25</v>
      </c>
    </row>
    <row r="38" spans="4:13" x14ac:dyDescent="0.3">
      <c r="D38" s="4" t="s">
        <v>155</v>
      </c>
      <c r="E38" s="16">
        <v>14</v>
      </c>
      <c r="H38" s="4" t="s">
        <v>154</v>
      </c>
      <c r="I38" s="2">
        <v>32.666666666666664</v>
      </c>
      <c r="L38" s="4" t="s">
        <v>154</v>
      </c>
      <c r="M38" s="2">
        <v>2.6666666666666665</v>
      </c>
    </row>
    <row r="39" spans="4:13" x14ac:dyDescent="0.3">
      <c r="D39" s="4" t="s">
        <v>156</v>
      </c>
      <c r="E39" s="16">
        <v>18</v>
      </c>
      <c r="H39" s="4" t="s">
        <v>155</v>
      </c>
      <c r="I39" s="2">
        <v>30.571428571428573</v>
      </c>
      <c r="L39" s="4" t="s">
        <v>155</v>
      </c>
      <c r="M39" s="2">
        <v>4</v>
      </c>
    </row>
    <row r="40" spans="4:13" x14ac:dyDescent="0.3">
      <c r="D40" s="4" t="s">
        <v>6</v>
      </c>
      <c r="E40" s="16">
        <v>506</v>
      </c>
      <c r="H40" s="4" t="s">
        <v>156</v>
      </c>
      <c r="I40" s="2">
        <v>39.055555555555557</v>
      </c>
      <c r="L40" s="4" t="s">
        <v>156</v>
      </c>
      <c r="M40" s="2">
        <v>8.75</v>
      </c>
    </row>
    <row r="41" spans="4:13" x14ac:dyDescent="0.3">
      <c r="H41" s="4" t="s">
        <v>6</v>
      </c>
      <c r="I41" s="2">
        <v>35.879446640316203</v>
      </c>
      <c r="L41" s="4" t="s">
        <v>6</v>
      </c>
      <c r="M41" s="2">
        <v>5.3277310924369745</v>
      </c>
    </row>
    <row r="44" spans="4:13" x14ac:dyDescent="0.3">
      <c r="D44" s="1" t="s">
        <v>5</v>
      </c>
      <c r="E44" t="s">
        <v>111</v>
      </c>
      <c r="F44" t="s">
        <v>112</v>
      </c>
    </row>
    <row r="45" spans="4:13" x14ac:dyDescent="0.3">
      <c r="D45" s="4" t="s">
        <v>26</v>
      </c>
      <c r="E45" s="16">
        <v>253</v>
      </c>
      <c r="F45" s="12">
        <v>0.5</v>
      </c>
    </row>
    <row r="46" spans="4:13" x14ac:dyDescent="0.3">
      <c r="D46" s="4" t="s">
        <v>32</v>
      </c>
      <c r="E46" s="16">
        <v>253</v>
      </c>
      <c r="F46" s="12">
        <v>0.5</v>
      </c>
    </row>
    <row r="47" spans="4:13" x14ac:dyDescent="0.3">
      <c r="D47" s="4" t="s">
        <v>6</v>
      </c>
      <c r="E47" s="16">
        <v>506</v>
      </c>
      <c r="F47" s="12">
        <v>1</v>
      </c>
    </row>
    <row r="53" spans="4:11" x14ac:dyDescent="0.3">
      <c r="D53" s="15" t="s">
        <v>114</v>
      </c>
      <c r="E53" s="15" t="s">
        <v>115</v>
      </c>
      <c r="F53" s="15" t="s">
        <v>113</v>
      </c>
      <c r="G53" s="14"/>
    </row>
    <row r="54" spans="4:11" x14ac:dyDescent="0.3">
      <c r="D54" s="10" t="str">
        <f>D46</f>
        <v>Not admited</v>
      </c>
      <c r="E54">
        <f>E46</f>
        <v>253</v>
      </c>
      <c r="F54" s="13">
        <f>F46</f>
        <v>0.5</v>
      </c>
    </row>
    <row r="55" spans="4:11" x14ac:dyDescent="0.3">
      <c r="D55" s="10" t="str">
        <f>D45</f>
        <v>Admited</v>
      </c>
      <c r="E55">
        <f>E45</f>
        <v>253</v>
      </c>
      <c r="F55" s="13">
        <f>F45</f>
        <v>0.5</v>
      </c>
    </row>
    <row r="60" spans="4:11" x14ac:dyDescent="0.3">
      <c r="J60" s="1" t="s">
        <v>5</v>
      </c>
      <c r="K60" t="s">
        <v>118</v>
      </c>
    </row>
    <row r="61" spans="4:11" x14ac:dyDescent="0.3">
      <c r="G61" s="1" t="s">
        <v>5</v>
      </c>
      <c r="H61" t="s">
        <v>117</v>
      </c>
      <c r="J61" s="4" t="s">
        <v>34</v>
      </c>
      <c r="K61" s="16">
        <v>312</v>
      </c>
    </row>
    <row r="62" spans="4:11" x14ac:dyDescent="0.3">
      <c r="G62" s="4" t="s">
        <v>43</v>
      </c>
      <c r="H62" s="16">
        <v>64</v>
      </c>
      <c r="J62" s="4" t="s">
        <v>28</v>
      </c>
      <c r="K62" s="16">
        <v>194</v>
      </c>
    </row>
    <row r="63" spans="4:11" x14ac:dyDescent="0.3">
      <c r="G63" s="4" t="s">
        <v>37</v>
      </c>
      <c r="H63" s="16">
        <v>66</v>
      </c>
      <c r="J63" s="4" t="s">
        <v>6</v>
      </c>
      <c r="K63" s="16">
        <v>506</v>
      </c>
    </row>
    <row r="64" spans="4:11" x14ac:dyDescent="0.3">
      <c r="G64" s="4" t="s">
        <v>46</v>
      </c>
      <c r="H64" s="16">
        <v>65</v>
      </c>
    </row>
    <row r="65" spans="6:11" x14ac:dyDescent="0.3">
      <c r="G65" s="4" t="s">
        <v>52</v>
      </c>
      <c r="H65" s="16">
        <v>73</v>
      </c>
    </row>
    <row r="66" spans="6:11" x14ac:dyDescent="0.3">
      <c r="G66" s="4" t="s">
        <v>33</v>
      </c>
      <c r="H66" s="16">
        <v>45</v>
      </c>
    </row>
    <row r="67" spans="6:11" x14ac:dyDescent="0.3">
      <c r="G67" s="4" t="s">
        <v>27</v>
      </c>
      <c r="H67" s="16">
        <v>72</v>
      </c>
      <c r="J67" s="1" t="s">
        <v>5</v>
      </c>
      <c r="K67" t="s">
        <v>119</v>
      </c>
    </row>
    <row r="68" spans="6:11" x14ac:dyDescent="0.3">
      <c r="G68" s="4" t="s">
        <v>116</v>
      </c>
      <c r="H68" s="16">
        <v>74</v>
      </c>
      <c r="J68" s="4" t="s">
        <v>31</v>
      </c>
      <c r="K68" s="16">
        <v>231</v>
      </c>
    </row>
    <row r="69" spans="6:11" x14ac:dyDescent="0.3">
      <c r="G69" s="4" t="s">
        <v>40</v>
      </c>
      <c r="H69" s="16">
        <v>47</v>
      </c>
      <c r="J69" s="4" t="s">
        <v>23</v>
      </c>
      <c r="K69" s="16">
        <v>275</v>
      </c>
    </row>
    <row r="70" spans="6:11" x14ac:dyDescent="0.3">
      <c r="G70" s="4" t="s">
        <v>6</v>
      </c>
      <c r="H70" s="16">
        <v>506</v>
      </c>
      <c r="J70" s="4" t="s">
        <v>6</v>
      </c>
      <c r="K70" s="16">
        <v>506</v>
      </c>
    </row>
    <row r="74" spans="6:11" x14ac:dyDescent="0.3">
      <c r="J74" s="1" t="s">
        <v>5</v>
      </c>
      <c r="K74" t="s">
        <v>124</v>
      </c>
    </row>
    <row r="75" spans="6:11" x14ac:dyDescent="0.3">
      <c r="J75" s="4" t="s">
        <v>123</v>
      </c>
      <c r="K75" s="16">
        <v>3</v>
      </c>
    </row>
    <row r="76" spans="6:11" x14ac:dyDescent="0.3">
      <c r="J76" s="4" t="s">
        <v>90</v>
      </c>
      <c r="K76" s="16">
        <v>5</v>
      </c>
    </row>
    <row r="77" spans="6:11" x14ac:dyDescent="0.3">
      <c r="J77" s="4" t="s">
        <v>121</v>
      </c>
      <c r="K77" s="16">
        <v>6</v>
      </c>
    </row>
    <row r="78" spans="6:11" x14ac:dyDescent="0.3">
      <c r="F78" s="1" t="s">
        <v>5</v>
      </c>
      <c r="J78" s="4" t="s">
        <v>122</v>
      </c>
      <c r="K78" s="16">
        <v>14</v>
      </c>
    </row>
    <row r="79" spans="6:11" x14ac:dyDescent="0.3">
      <c r="F79" s="4" t="s">
        <v>125</v>
      </c>
      <c r="J79" s="4" t="s">
        <v>120</v>
      </c>
      <c r="K79" s="16">
        <v>15</v>
      </c>
    </row>
    <row r="80" spans="6:11" x14ac:dyDescent="0.3">
      <c r="F80" s="4" t="s">
        <v>6</v>
      </c>
      <c r="J80" s="4" t="s">
        <v>87</v>
      </c>
      <c r="K80" s="16">
        <v>59</v>
      </c>
    </row>
    <row r="81" spans="10:11" x14ac:dyDescent="0.3">
      <c r="J81" s="4" t="s">
        <v>75</v>
      </c>
      <c r="K81" s="16">
        <v>93</v>
      </c>
    </row>
    <row r="82" spans="10:11" x14ac:dyDescent="0.3">
      <c r="J82" s="4" t="s">
        <v>25</v>
      </c>
      <c r="K82" s="16">
        <v>311</v>
      </c>
    </row>
    <row r="83" spans="10:11" x14ac:dyDescent="0.3">
      <c r="J83" s="4" t="s">
        <v>6</v>
      </c>
      <c r="K83" s="16">
        <v>506</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C3E42-96D7-40AB-A67B-546CA9620EC9}">
  <dimension ref="A1:M23"/>
  <sheetViews>
    <sheetView tabSelected="1" zoomScale="111" workbookViewId="0">
      <selection activeCell="N14" sqref="N14"/>
    </sheetView>
  </sheetViews>
  <sheetFormatPr defaultRowHeight="14.4" x14ac:dyDescent="0.3"/>
  <sheetData>
    <row r="1" spans="1:13" x14ac:dyDescent="0.3">
      <c r="A1" s="3"/>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3"/>
      <c r="L5" s="3"/>
      <c r="M5" s="3"/>
    </row>
    <row r="6" spans="1:13" x14ac:dyDescent="0.3">
      <c r="A6" s="3"/>
      <c r="B6" s="3"/>
      <c r="C6" s="3"/>
      <c r="D6" s="3"/>
      <c r="E6" s="3"/>
      <c r="F6" s="3"/>
      <c r="G6" s="3"/>
      <c r="H6" s="3"/>
      <c r="I6" s="3"/>
      <c r="J6" s="3"/>
      <c r="K6" s="3"/>
      <c r="L6" s="3"/>
      <c r="M6" s="3"/>
    </row>
    <row r="7" spans="1:13" x14ac:dyDescent="0.3">
      <c r="A7" s="3"/>
      <c r="B7" s="3"/>
      <c r="C7" s="3"/>
      <c r="D7" s="3"/>
      <c r="E7" s="3"/>
      <c r="F7" s="3"/>
      <c r="G7" s="3"/>
      <c r="H7" s="3"/>
      <c r="I7" s="3"/>
      <c r="J7" s="3"/>
      <c r="K7" s="3"/>
      <c r="L7" s="3"/>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x14ac:dyDescent="0.3">
      <c r="A16" s="3"/>
      <c r="B16" s="3"/>
      <c r="C16" s="3"/>
      <c r="D16" s="3"/>
      <c r="E16" s="3"/>
      <c r="F16" s="3"/>
      <c r="G16" s="3"/>
      <c r="H16" s="3"/>
      <c r="I16" s="3"/>
      <c r="J16" s="3"/>
      <c r="K16" s="3"/>
      <c r="L16" s="3"/>
      <c r="M16" s="3"/>
    </row>
    <row r="17" spans="1:13" x14ac:dyDescent="0.3">
      <c r="A17" s="3"/>
      <c r="B17" s="3"/>
      <c r="C17" s="3"/>
      <c r="D17" s="3"/>
      <c r="E17" s="3"/>
      <c r="F17" s="3"/>
      <c r="G17" s="3"/>
      <c r="H17" s="3"/>
      <c r="I17" s="3"/>
      <c r="J17" s="3"/>
      <c r="K17" s="3"/>
      <c r="L17" s="3"/>
      <c r="M17" s="3"/>
    </row>
    <row r="18" spans="1:13" x14ac:dyDescent="0.3">
      <c r="A18" s="3"/>
      <c r="B18" s="3"/>
      <c r="C18" s="3"/>
      <c r="D18" s="3"/>
      <c r="E18" s="3"/>
      <c r="F18" s="3"/>
      <c r="G18" s="3"/>
      <c r="H18" s="3"/>
      <c r="I18" s="3"/>
      <c r="J18" s="3"/>
      <c r="K18" s="3"/>
      <c r="L18" s="3"/>
      <c r="M18" s="3"/>
    </row>
    <row r="19" spans="1:13" x14ac:dyDescent="0.3">
      <c r="A19" s="3"/>
      <c r="B19" s="3"/>
      <c r="C19" s="3"/>
      <c r="D19" s="3"/>
      <c r="E19" s="3"/>
      <c r="F19" s="3"/>
      <c r="G19" s="3"/>
      <c r="H19" s="3"/>
      <c r="I19" s="3"/>
      <c r="J19" s="3"/>
      <c r="K19" s="3"/>
      <c r="L19" s="3"/>
      <c r="M19" s="3"/>
    </row>
    <row r="20" spans="1:13" x14ac:dyDescent="0.3">
      <c r="A20" s="3"/>
      <c r="B20" s="3"/>
      <c r="C20" s="3"/>
      <c r="D20" s="3"/>
      <c r="E20" s="3"/>
      <c r="F20" s="3"/>
      <c r="G20" s="3"/>
      <c r="H20" s="3"/>
      <c r="I20" s="3"/>
      <c r="J20" s="3"/>
      <c r="K20" s="3"/>
      <c r="L20" s="3"/>
      <c r="M20" s="3"/>
    </row>
    <row r="21" spans="1:13" x14ac:dyDescent="0.3">
      <c r="A21" s="3"/>
      <c r="B21" s="3"/>
      <c r="C21" s="3"/>
      <c r="D21" s="3"/>
      <c r="E21" s="3"/>
      <c r="F21" s="3"/>
      <c r="G21" s="3"/>
      <c r="H21" s="3"/>
      <c r="I21" s="3"/>
      <c r="J21" s="3"/>
      <c r="K21" s="3"/>
      <c r="L21" s="3"/>
      <c r="M21" s="3"/>
    </row>
    <row r="22" spans="1:13" x14ac:dyDescent="0.3">
      <c r="A22" s="3"/>
      <c r="B22" s="3"/>
      <c r="C22" s="3"/>
      <c r="D22" s="3"/>
      <c r="E22" s="3"/>
      <c r="F22" s="3"/>
      <c r="G22" s="3"/>
      <c r="H22" s="3"/>
      <c r="I22" s="3"/>
      <c r="J22" s="3"/>
      <c r="K22" s="3"/>
      <c r="L22" s="3"/>
      <c r="M22" s="3"/>
    </row>
    <row r="23" spans="1:13" x14ac:dyDescent="0.3">
      <c r="A23" s="3"/>
      <c r="B23" s="3"/>
      <c r="C23" s="3"/>
      <c r="D23" s="3"/>
      <c r="E23" s="3"/>
      <c r="F23" s="3"/>
      <c r="G23" s="3"/>
      <c r="H23" s="3"/>
      <c r="I23" s="3"/>
      <c r="J23" s="3"/>
      <c r="K23" s="3"/>
      <c r="L23" s="3"/>
      <c r="M23"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A2858-D1A6-4139-9C51-64CF96461410}">
  <dimension ref="A1:S23"/>
  <sheetViews>
    <sheetView workbookViewId="0"/>
  </sheetViews>
  <sheetFormatPr defaultRowHeight="14.4" x14ac:dyDescent="0.3"/>
  <sheetData>
    <row r="1" spans="1:19" x14ac:dyDescent="0.3">
      <c r="A1" s="11"/>
      <c r="B1" s="11"/>
      <c r="C1" s="11"/>
      <c r="D1" s="11"/>
      <c r="E1" s="11"/>
      <c r="F1" s="11"/>
      <c r="G1" s="11"/>
      <c r="H1" s="11"/>
      <c r="I1" s="11"/>
      <c r="J1" s="11"/>
      <c r="K1" s="11"/>
      <c r="L1" s="11"/>
      <c r="M1" s="11"/>
      <c r="N1" s="11"/>
      <c r="O1" s="11"/>
      <c r="P1" s="11"/>
      <c r="Q1" s="11"/>
      <c r="R1" s="11"/>
      <c r="S1" s="11"/>
    </row>
    <row r="2" spans="1:19" x14ac:dyDescent="0.3">
      <c r="A2" s="11"/>
      <c r="B2" s="11"/>
      <c r="C2" s="11"/>
      <c r="D2" s="11"/>
      <c r="E2" s="11"/>
      <c r="F2" s="11"/>
      <c r="G2" s="11"/>
      <c r="H2" s="11"/>
      <c r="I2" s="11"/>
      <c r="J2" s="11"/>
      <c r="K2" s="11"/>
      <c r="L2" s="11"/>
      <c r="M2" s="11"/>
      <c r="N2" s="11"/>
      <c r="O2" s="11"/>
      <c r="P2" s="11"/>
      <c r="Q2" s="11"/>
      <c r="R2" s="11"/>
      <c r="S2" s="11"/>
    </row>
    <row r="3" spans="1:19" x14ac:dyDescent="0.3">
      <c r="A3" s="11"/>
      <c r="B3" s="11"/>
      <c r="C3" s="11"/>
      <c r="D3" s="11"/>
      <c r="E3" s="11"/>
      <c r="F3" s="11"/>
      <c r="G3" s="11"/>
      <c r="H3" s="11"/>
      <c r="I3" s="11"/>
      <c r="J3" s="11"/>
      <c r="K3" s="11"/>
      <c r="L3" s="11"/>
      <c r="M3" s="11"/>
      <c r="N3" s="11"/>
      <c r="O3" s="11"/>
      <c r="P3" s="11"/>
      <c r="Q3" s="11"/>
      <c r="R3" s="11"/>
      <c r="S3" s="11"/>
    </row>
    <row r="4" spans="1:19" x14ac:dyDescent="0.3">
      <c r="A4" s="11"/>
      <c r="B4" s="11"/>
      <c r="C4" s="11"/>
      <c r="D4" s="11"/>
      <c r="E4" s="11"/>
      <c r="F4" s="11"/>
      <c r="G4" s="11"/>
      <c r="H4" s="11"/>
      <c r="I4" s="11"/>
      <c r="J4" s="11"/>
      <c r="K4" s="11"/>
      <c r="L4" s="11"/>
      <c r="M4" s="11"/>
      <c r="N4" s="11"/>
      <c r="O4" s="11"/>
      <c r="P4" s="11"/>
      <c r="Q4" s="11"/>
      <c r="R4" s="11"/>
      <c r="S4" s="11"/>
    </row>
    <row r="5" spans="1:19" x14ac:dyDescent="0.3">
      <c r="A5" s="11"/>
      <c r="B5" s="11"/>
      <c r="C5" s="11"/>
      <c r="D5" s="11"/>
      <c r="E5" s="11"/>
      <c r="F5" s="11"/>
      <c r="G5" s="11"/>
      <c r="H5" s="11"/>
      <c r="I5" s="11"/>
      <c r="J5" s="11"/>
      <c r="K5" s="11"/>
      <c r="L5" s="11"/>
      <c r="M5" s="11"/>
      <c r="N5" s="11"/>
      <c r="O5" s="11"/>
      <c r="P5" s="11"/>
      <c r="Q5" s="11"/>
      <c r="R5" s="11"/>
      <c r="S5" s="11"/>
    </row>
    <row r="6" spans="1:19" x14ac:dyDescent="0.3">
      <c r="A6" s="11"/>
      <c r="B6" s="11"/>
      <c r="C6" s="11"/>
      <c r="D6" s="11"/>
      <c r="E6" s="11"/>
      <c r="F6" s="11"/>
      <c r="G6" s="11"/>
      <c r="H6" s="11"/>
      <c r="I6" s="11"/>
      <c r="J6" s="11"/>
      <c r="K6" s="11"/>
      <c r="L6" s="11"/>
      <c r="M6" s="11"/>
      <c r="N6" s="11"/>
      <c r="O6" s="11"/>
      <c r="P6" s="11"/>
      <c r="Q6" s="11"/>
      <c r="R6" s="11"/>
      <c r="S6" s="11"/>
    </row>
    <row r="7" spans="1:19" x14ac:dyDescent="0.3">
      <c r="A7" s="11"/>
      <c r="B7" s="11"/>
      <c r="C7" s="11"/>
      <c r="D7" s="11"/>
      <c r="E7" s="11"/>
      <c r="F7" s="11"/>
      <c r="G7" s="11"/>
      <c r="H7" s="11"/>
      <c r="I7" s="11"/>
      <c r="J7" s="11"/>
      <c r="K7" s="11"/>
      <c r="L7" s="11"/>
      <c r="M7" s="11"/>
      <c r="N7" s="11"/>
      <c r="O7" s="11"/>
      <c r="P7" s="11"/>
      <c r="Q7" s="11"/>
      <c r="R7" s="11"/>
      <c r="S7" s="11"/>
    </row>
    <row r="8" spans="1:19" x14ac:dyDescent="0.3">
      <c r="A8" s="11"/>
      <c r="B8" s="11"/>
      <c r="C8" s="11"/>
      <c r="D8" s="11"/>
      <c r="E8" s="11"/>
      <c r="F8" s="11"/>
      <c r="G8" s="11"/>
      <c r="H8" s="11"/>
      <c r="I8" s="11"/>
      <c r="J8" s="11"/>
      <c r="K8" s="11"/>
      <c r="L8" s="11"/>
      <c r="M8" s="11"/>
      <c r="N8" s="11"/>
      <c r="O8" s="11"/>
      <c r="P8" s="11"/>
      <c r="Q8" s="11"/>
      <c r="R8" s="11"/>
      <c r="S8" s="11"/>
    </row>
    <row r="9" spans="1:19" x14ac:dyDescent="0.3">
      <c r="A9" s="11"/>
      <c r="B9" s="11"/>
      <c r="C9" s="11"/>
      <c r="D9" s="11"/>
      <c r="E9" s="11"/>
      <c r="F9" s="11"/>
      <c r="G9" s="11"/>
      <c r="H9" s="11"/>
      <c r="I9" s="11"/>
      <c r="J9" s="11"/>
      <c r="K9" s="11"/>
      <c r="L9" s="11"/>
      <c r="M9" s="11"/>
      <c r="N9" s="11"/>
      <c r="O9" s="11"/>
      <c r="P9" s="11"/>
      <c r="Q9" s="11"/>
      <c r="R9" s="11"/>
      <c r="S9" s="11"/>
    </row>
    <row r="10" spans="1:19" x14ac:dyDescent="0.3">
      <c r="A10" s="11"/>
      <c r="B10" s="11"/>
      <c r="C10" s="11"/>
      <c r="D10" s="11"/>
      <c r="E10" s="11"/>
      <c r="F10" s="11"/>
      <c r="G10" s="11"/>
      <c r="H10" s="11"/>
      <c r="I10" s="11"/>
      <c r="J10" s="11"/>
      <c r="K10" s="11"/>
      <c r="L10" s="11"/>
      <c r="M10" s="11"/>
      <c r="N10" s="11"/>
      <c r="O10" s="11"/>
      <c r="P10" s="11"/>
      <c r="Q10" s="11"/>
      <c r="R10" s="11"/>
      <c r="S10" s="11"/>
    </row>
    <row r="11" spans="1:19" x14ac:dyDescent="0.3">
      <c r="A11" s="11"/>
      <c r="B11" s="11"/>
      <c r="C11" s="11"/>
      <c r="D11" s="11"/>
      <c r="E11" s="11"/>
      <c r="F11" s="11"/>
      <c r="G11" s="11"/>
      <c r="H11" s="11"/>
      <c r="I11" s="11"/>
      <c r="J11" s="11"/>
      <c r="K11" s="11"/>
      <c r="L11" s="11"/>
      <c r="M11" s="11"/>
      <c r="N11" s="11"/>
      <c r="O11" s="11"/>
      <c r="P11" s="11"/>
      <c r="Q11" s="11"/>
      <c r="R11" s="11"/>
      <c r="S11" s="11"/>
    </row>
    <row r="12" spans="1:19" x14ac:dyDescent="0.3">
      <c r="A12" s="11"/>
      <c r="B12" s="11"/>
      <c r="C12" s="11"/>
      <c r="D12" s="11"/>
      <c r="E12" s="11"/>
      <c r="F12" s="11"/>
      <c r="G12" s="11"/>
      <c r="H12" s="11"/>
      <c r="I12" s="11"/>
      <c r="J12" s="11"/>
      <c r="K12" s="11"/>
      <c r="L12" s="11"/>
      <c r="M12" s="11"/>
      <c r="N12" s="11"/>
      <c r="O12" s="11"/>
      <c r="P12" s="11"/>
      <c r="Q12" s="11"/>
      <c r="R12" s="11"/>
      <c r="S12" s="11"/>
    </row>
    <row r="13" spans="1:19" x14ac:dyDescent="0.3">
      <c r="A13" s="11"/>
      <c r="B13" s="11"/>
      <c r="C13" s="11"/>
      <c r="D13" s="11"/>
      <c r="E13" s="11"/>
      <c r="F13" s="11"/>
      <c r="G13" s="11"/>
      <c r="H13" s="11"/>
      <c r="I13" s="11"/>
      <c r="J13" s="11"/>
      <c r="K13" s="11"/>
      <c r="L13" s="11"/>
      <c r="M13" s="11"/>
      <c r="N13" s="11"/>
      <c r="O13" s="11"/>
      <c r="P13" s="11"/>
      <c r="Q13" s="11"/>
      <c r="R13" s="11"/>
      <c r="S13" s="11"/>
    </row>
    <row r="14" spans="1:19" x14ac:dyDescent="0.3">
      <c r="A14" s="11"/>
      <c r="B14" s="11"/>
      <c r="C14" s="11"/>
      <c r="D14" s="11"/>
      <c r="E14" s="11"/>
      <c r="F14" s="11"/>
      <c r="G14" s="11"/>
      <c r="H14" s="11"/>
      <c r="I14" s="11"/>
      <c r="J14" s="11"/>
      <c r="K14" s="11"/>
      <c r="L14" s="11"/>
      <c r="M14" s="11"/>
      <c r="N14" s="11"/>
      <c r="O14" s="11"/>
      <c r="P14" s="11"/>
      <c r="Q14" s="11"/>
      <c r="R14" s="11"/>
      <c r="S14" s="11"/>
    </row>
    <row r="15" spans="1:19" x14ac:dyDescent="0.3">
      <c r="A15" s="11"/>
      <c r="B15" s="11"/>
      <c r="C15" s="11"/>
      <c r="D15" s="11"/>
      <c r="E15" s="11"/>
      <c r="F15" s="11"/>
      <c r="G15" s="11"/>
      <c r="H15" s="11"/>
      <c r="I15" s="11"/>
      <c r="J15" s="11"/>
      <c r="K15" s="11"/>
      <c r="L15" s="11"/>
      <c r="M15" s="11"/>
      <c r="N15" s="11"/>
      <c r="O15" s="11"/>
      <c r="P15" s="11"/>
      <c r="Q15" s="11"/>
      <c r="R15" s="11"/>
      <c r="S15" s="11"/>
    </row>
    <row r="16" spans="1:19" x14ac:dyDescent="0.3">
      <c r="A16" s="11"/>
      <c r="B16" s="11"/>
      <c r="C16" s="11"/>
      <c r="D16" s="11"/>
      <c r="E16" s="11"/>
      <c r="F16" s="11"/>
      <c r="G16" s="11"/>
      <c r="H16" s="11"/>
      <c r="I16" s="11"/>
      <c r="J16" s="11"/>
      <c r="K16" s="11"/>
      <c r="L16" s="11"/>
      <c r="M16" s="11"/>
      <c r="N16" s="11"/>
      <c r="O16" s="11"/>
      <c r="P16" s="11"/>
      <c r="Q16" s="11"/>
      <c r="R16" s="11"/>
      <c r="S16" s="11"/>
    </row>
    <row r="17" spans="1:19" x14ac:dyDescent="0.3">
      <c r="A17" s="11"/>
      <c r="B17" s="11"/>
      <c r="C17" s="11"/>
      <c r="D17" s="11"/>
      <c r="E17" s="11"/>
      <c r="F17" s="11"/>
      <c r="G17" s="11"/>
      <c r="H17" s="11"/>
      <c r="I17" s="11"/>
      <c r="J17" s="11"/>
      <c r="K17" s="11"/>
      <c r="L17" s="11"/>
      <c r="M17" s="11"/>
      <c r="N17" s="11"/>
      <c r="O17" s="11"/>
      <c r="P17" s="11"/>
      <c r="Q17" s="11"/>
      <c r="R17" s="11"/>
      <c r="S17" s="11"/>
    </row>
    <row r="18" spans="1:19" x14ac:dyDescent="0.3">
      <c r="A18" s="11"/>
      <c r="B18" s="11"/>
      <c r="C18" s="11"/>
      <c r="D18" s="11"/>
      <c r="E18" s="11"/>
      <c r="F18" s="11"/>
      <c r="G18" s="11"/>
      <c r="H18" s="11"/>
      <c r="I18" s="11"/>
      <c r="J18" s="11"/>
      <c r="K18" s="11"/>
      <c r="L18" s="11"/>
      <c r="M18" s="11"/>
      <c r="N18" s="11"/>
      <c r="O18" s="11"/>
      <c r="P18" s="11"/>
      <c r="Q18" s="11"/>
      <c r="R18" s="11"/>
      <c r="S18" s="11"/>
    </row>
    <row r="19" spans="1:19" x14ac:dyDescent="0.3">
      <c r="A19" s="11"/>
      <c r="B19" s="11"/>
      <c r="C19" s="11"/>
      <c r="D19" s="11"/>
      <c r="E19" s="11"/>
      <c r="F19" s="11"/>
      <c r="G19" s="11"/>
      <c r="H19" s="11"/>
      <c r="I19" s="11"/>
      <c r="J19" s="11"/>
      <c r="K19" s="11"/>
      <c r="L19" s="11"/>
      <c r="M19" s="11"/>
      <c r="N19" s="11"/>
      <c r="O19" s="11"/>
      <c r="P19" s="11"/>
      <c r="Q19" s="11"/>
      <c r="R19" s="11"/>
      <c r="S19" s="11"/>
    </row>
    <row r="20" spans="1:19" x14ac:dyDescent="0.3">
      <c r="A20" s="11"/>
      <c r="B20" s="11"/>
      <c r="C20" s="11"/>
      <c r="D20" s="11"/>
      <c r="E20" s="11"/>
      <c r="F20" s="11"/>
      <c r="G20" s="11"/>
      <c r="H20" s="11"/>
      <c r="I20" s="11"/>
      <c r="J20" s="11"/>
      <c r="K20" s="11"/>
      <c r="L20" s="11"/>
      <c r="M20" s="11"/>
      <c r="N20" s="11"/>
      <c r="O20" s="11"/>
      <c r="P20" s="11"/>
      <c r="Q20" s="11"/>
      <c r="R20" s="11"/>
      <c r="S20" s="11"/>
    </row>
    <row r="21" spans="1:19" x14ac:dyDescent="0.3">
      <c r="A21" s="11"/>
      <c r="B21" s="11"/>
      <c r="C21" s="11"/>
      <c r="D21" s="11"/>
      <c r="E21" s="11"/>
      <c r="F21" s="11"/>
      <c r="G21" s="11"/>
      <c r="H21" s="11"/>
      <c r="I21" s="11"/>
      <c r="J21" s="11"/>
      <c r="K21" s="11"/>
      <c r="L21" s="11"/>
      <c r="M21" s="11"/>
      <c r="N21" s="11"/>
      <c r="O21" s="11"/>
      <c r="P21" s="11"/>
      <c r="Q21" s="11"/>
      <c r="R21" s="11"/>
      <c r="S21" s="11"/>
    </row>
    <row r="22" spans="1:19" x14ac:dyDescent="0.3">
      <c r="A22" s="11"/>
      <c r="B22" s="11"/>
      <c r="C22" s="11"/>
      <c r="D22" s="11" t="s">
        <v>110</v>
      </c>
      <c r="E22" s="11"/>
      <c r="F22" s="11"/>
      <c r="G22" s="11"/>
      <c r="H22" s="11"/>
      <c r="I22" s="11"/>
      <c r="J22" s="11"/>
      <c r="K22" s="11"/>
      <c r="L22" s="11"/>
      <c r="M22" s="11"/>
      <c r="N22" s="11"/>
      <c r="O22" s="11"/>
      <c r="P22" s="11"/>
      <c r="Q22" s="11"/>
      <c r="R22" s="11"/>
      <c r="S22" s="11"/>
    </row>
    <row r="23" spans="1:19" x14ac:dyDescent="0.3">
      <c r="A23" s="11"/>
      <c r="B23" s="11"/>
      <c r="C23" s="11"/>
      <c r="D23" s="11"/>
      <c r="E23" s="11"/>
      <c r="F23" s="11"/>
      <c r="G23" s="11"/>
      <c r="H23" s="11"/>
      <c r="I23" s="11"/>
      <c r="J23" s="11"/>
      <c r="K23" s="11"/>
      <c r="L23" s="11"/>
      <c r="M23" s="11"/>
      <c r="N23" s="11"/>
      <c r="O23" s="11"/>
      <c r="P23" s="11"/>
      <c r="Q23" s="11"/>
      <c r="R23" s="11"/>
      <c r="S23" s="1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9DB32-3502-45D4-9E69-4308B0656BC0}">
  <dimension ref="A1:R20"/>
  <sheetViews>
    <sheetView zoomScale="78" workbookViewId="0"/>
  </sheetViews>
  <sheetFormatPr defaultRowHeight="14.4" x14ac:dyDescent="0.3"/>
  <sheetData>
    <row r="1" spans="1:18" x14ac:dyDescent="0.3">
      <c r="A1" s="6"/>
      <c r="B1" s="6"/>
      <c r="C1" s="6"/>
      <c r="D1" s="6"/>
      <c r="E1" s="6"/>
      <c r="F1" s="6"/>
      <c r="G1" s="6"/>
      <c r="H1" s="6"/>
      <c r="I1" s="6"/>
      <c r="J1" s="6"/>
      <c r="K1" s="6"/>
      <c r="L1" s="6"/>
      <c r="M1" s="6"/>
      <c r="N1" s="6"/>
      <c r="O1" s="6"/>
      <c r="P1" s="6"/>
    </row>
    <row r="2" spans="1:18" x14ac:dyDescent="0.3">
      <c r="A2" s="6"/>
      <c r="B2" s="6"/>
      <c r="C2" s="6"/>
      <c r="D2" s="6"/>
      <c r="E2" s="6"/>
      <c r="F2" s="6"/>
      <c r="G2" s="6"/>
      <c r="H2" s="6"/>
      <c r="I2" s="6"/>
      <c r="J2" s="6"/>
      <c r="K2" s="6"/>
      <c r="L2" s="6"/>
      <c r="M2" s="6"/>
      <c r="N2" s="6"/>
      <c r="O2" s="6"/>
      <c r="P2" s="6"/>
    </row>
    <row r="3" spans="1:18" x14ac:dyDescent="0.3">
      <c r="A3" s="6"/>
      <c r="B3" s="6"/>
      <c r="C3" s="6"/>
      <c r="D3" s="6"/>
      <c r="E3" s="6"/>
      <c r="F3" s="6"/>
      <c r="G3" s="6"/>
      <c r="H3" s="6"/>
      <c r="I3" s="6"/>
      <c r="J3" s="6"/>
      <c r="K3" s="6"/>
      <c r="L3" s="6"/>
      <c r="M3" s="6"/>
      <c r="N3" s="6"/>
      <c r="O3" s="6"/>
      <c r="P3" s="6"/>
    </row>
    <row r="4" spans="1:18" x14ac:dyDescent="0.3">
      <c r="A4" s="6"/>
      <c r="B4" s="6"/>
      <c r="C4" s="6"/>
      <c r="D4" s="6"/>
      <c r="E4" s="6"/>
      <c r="F4" s="6"/>
      <c r="G4" s="6"/>
      <c r="H4" s="6"/>
      <c r="I4" s="6"/>
      <c r="J4" s="6"/>
      <c r="K4" s="6"/>
      <c r="L4" s="6"/>
      <c r="M4" s="6"/>
      <c r="N4" s="6"/>
      <c r="O4" s="6"/>
      <c r="P4" s="6"/>
    </row>
    <row r="5" spans="1:18" x14ac:dyDescent="0.3">
      <c r="A5" s="6"/>
      <c r="B5" s="6"/>
      <c r="C5" s="6"/>
      <c r="D5" s="6"/>
      <c r="E5" s="6"/>
      <c r="F5" s="6"/>
      <c r="G5" s="6"/>
      <c r="H5" s="6"/>
      <c r="I5" s="6"/>
      <c r="J5" s="6"/>
      <c r="K5" s="6"/>
      <c r="L5" s="6"/>
      <c r="M5" s="6"/>
      <c r="N5" s="6"/>
      <c r="O5" s="6"/>
      <c r="P5" s="6"/>
    </row>
    <row r="6" spans="1:18" x14ac:dyDescent="0.3">
      <c r="A6" s="6"/>
      <c r="B6" s="6"/>
      <c r="C6" s="6"/>
      <c r="D6" s="6"/>
      <c r="E6" s="6"/>
      <c r="F6" s="6"/>
      <c r="G6" s="6"/>
      <c r="H6" s="6"/>
      <c r="I6" s="6"/>
      <c r="J6" s="6"/>
      <c r="K6" s="6"/>
      <c r="L6" s="6"/>
      <c r="M6" s="6"/>
      <c r="N6" s="6"/>
      <c r="O6" s="6"/>
      <c r="P6" s="6"/>
      <c r="R6" s="5"/>
    </row>
    <row r="7" spans="1:18" x14ac:dyDescent="0.3">
      <c r="A7" s="6"/>
      <c r="B7" s="6"/>
      <c r="C7" s="6"/>
      <c r="D7" s="6"/>
      <c r="E7" s="6"/>
      <c r="F7" s="6"/>
      <c r="G7" s="6"/>
      <c r="H7" s="6"/>
      <c r="I7" s="6"/>
      <c r="J7" s="6"/>
      <c r="K7" s="6"/>
      <c r="L7" s="6"/>
      <c r="M7" s="6"/>
      <c r="N7" s="6"/>
      <c r="O7" s="6"/>
      <c r="P7" s="6"/>
    </row>
    <row r="8" spans="1:18" x14ac:dyDescent="0.3">
      <c r="A8" s="6"/>
      <c r="B8" s="6"/>
      <c r="C8" s="6"/>
      <c r="D8" s="6"/>
      <c r="E8" s="6"/>
      <c r="F8" s="6"/>
      <c r="G8" s="6"/>
      <c r="H8" s="6"/>
      <c r="I8" s="6"/>
      <c r="J8" s="6"/>
      <c r="K8" s="6"/>
      <c r="L8" s="6"/>
      <c r="M8" s="6"/>
      <c r="N8" s="6"/>
      <c r="O8" s="6"/>
      <c r="P8" s="6"/>
    </row>
    <row r="9" spans="1:18" x14ac:dyDescent="0.3">
      <c r="A9" s="6"/>
      <c r="B9" s="6"/>
      <c r="C9" s="6"/>
      <c r="D9" s="6"/>
      <c r="E9" s="6"/>
      <c r="F9" s="6"/>
      <c r="G9" s="6"/>
      <c r="H9" s="6"/>
      <c r="I9" s="6"/>
      <c r="J9" s="6"/>
      <c r="K9" s="6"/>
      <c r="L9" s="6"/>
      <c r="M9" s="6"/>
      <c r="N9" s="6"/>
      <c r="O9" s="6"/>
      <c r="P9" s="6"/>
    </row>
    <row r="10" spans="1:18" x14ac:dyDescent="0.3">
      <c r="A10" s="6"/>
      <c r="B10" s="6"/>
      <c r="C10" s="6"/>
      <c r="D10" s="6"/>
      <c r="E10" s="6"/>
      <c r="F10" s="6"/>
      <c r="G10" s="6"/>
      <c r="H10" s="6"/>
      <c r="I10" s="6"/>
      <c r="J10" s="6"/>
      <c r="K10" s="6"/>
      <c r="L10" s="6"/>
      <c r="M10" s="6"/>
      <c r="N10" s="6"/>
      <c r="O10" s="6"/>
      <c r="P10" s="6"/>
    </row>
    <row r="11" spans="1:18" x14ac:dyDescent="0.3">
      <c r="A11" s="6"/>
      <c r="B11" s="6"/>
      <c r="C11" s="6"/>
      <c r="D11" s="6"/>
      <c r="E11" s="6"/>
      <c r="F11" s="6"/>
      <c r="G11" s="6"/>
      <c r="H11" s="6"/>
      <c r="I11" s="6"/>
      <c r="J11" s="6"/>
      <c r="K11" s="6"/>
      <c r="L11" s="6"/>
      <c r="M11" s="6"/>
      <c r="N11" s="6"/>
      <c r="O11" s="6"/>
      <c r="P11" s="6"/>
    </row>
    <row r="12" spans="1:18" x14ac:dyDescent="0.3">
      <c r="A12" s="6"/>
      <c r="B12" s="6"/>
      <c r="C12" s="6"/>
      <c r="D12" s="6"/>
      <c r="E12" s="6"/>
      <c r="F12" s="6"/>
      <c r="G12" s="6"/>
      <c r="H12" s="6"/>
      <c r="I12" s="6"/>
      <c r="J12" s="6"/>
      <c r="K12" s="6"/>
      <c r="L12" s="6"/>
      <c r="M12" s="6"/>
      <c r="N12" s="6"/>
      <c r="O12" s="6"/>
      <c r="P12" s="6"/>
    </row>
    <row r="13" spans="1:18" x14ac:dyDescent="0.3">
      <c r="A13" s="6"/>
      <c r="B13" s="6"/>
      <c r="C13" s="6"/>
      <c r="D13" s="6"/>
      <c r="E13" s="6"/>
      <c r="F13" s="6"/>
      <c r="G13" s="6"/>
      <c r="H13" s="6"/>
      <c r="I13" s="6"/>
      <c r="J13" s="6"/>
      <c r="K13" s="6"/>
      <c r="L13" s="6"/>
      <c r="M13" s="6"/>
      <c r="N13" s="6"/>
      <c r="O13" s="6"/>
      <c r="P13" s="6"/>
    </row>
    <row r="14" spans="1:18" x14ac:dyDescent="0.3">
      <c r="A14" s="6"/>
      <c r="B14" s="6"/>
      <c r="C14" s="6"/>
      <c r="D14" s="6"/>
      <c r="E14" s="6"/>
      <c r="F14" s="6"/>
      <c r="G14" s="6"/>
      <c r="H14" s="6"/>
      <c r="I14" s="6"/>
      <c r="J14" s="6"/>
      <c r="K14" s="6"/>
      <c r="L14" s="6"/>
      <c r="M14" s="6"/>
      <c r="N14" s="6"/>
      <c r="O14" s="6"/>
      <c r="P14" s="6"/>
    </row>
    <row r="15" spans="1:18" x14ac:dyDescent="0.3">
      <c r="A15" s="6"/>
      <c r="B15" s="6"/>
      <c r="C15" s="6"/>
      <c r="D15" s="6"/>
      <c r="E15" s="6"/>
      <c r="F15" s="6"/>
      <c r="G15" s="6"/>
      <c r="H15" s="6"/>
      <c r="I15" s="6"/>
      <c r="J15" s="6"/>
      <c r="K15" s="6"/>
      <c r="L15" s="6"/>
      <c r="M15" s="6"/>
      <c r="N15" s="6"/>
      <c r="O15" s="6"/>
      <c r="P15" s="6"/>
    </row>
    <row r="16" spans="1:18" x14ac:dyDescent="0.3">
      <c r="A16" s="6"/>
      <c r="B16" s="6"/>
      <c r="C16" s="6"/>
      <c r="D16" s="6"/>
      <c r="E16" s="6"/>
      <c r="F16" s="6"/>
      <c r="G16" s="6"/>
      <c r="H16" s="6"/>
      <c r="I16" s="6"/>
      <c r="J16" s="6"/>
      <c r="K16" s="6"/>
      <c r="L16" s="6"/>
      <c r="M16" s="6"/>
      <c r="N16" s="6"/>
      <c r="O16" s="6"/>
      <c r="P16" s="6"/>
    </row>
    <row r="17" spans="1:16" x14ac:dyDescent="0.3">
      <c r="A17" s="6"/>
      <c r="B17" s="6"/>
      <c r="C17" s="6"/>
      <c r="D17" s="6"/>
      <c r="E17" s="6"/>
      <c r="F17" s="6"/>
      <c r="G17" s="6"/>
      <c r="H17" s="6"/>
      <c r="I17" s="6"/>
      <c r="J17" s="6"/>
      <c r="K17" s="6"/>
      <c r="L17" s="6"/>
      <c r="M17" s="6"/>
      <c r="N17" s="6"/>
      <c r="O17" s="6"/>
      <c r="P17" s="6"/>
    </row>
    <row r="18" spans="1:16" x14ac:dyDescent="0.3">
      <c r="A18" s="6"/>
      <c r="B18" s="6"/>
      <c r="C18" s="6"/>
      <c r="D18" s="6"/>
      <c r="E18" s="6"/>
      <c r="F18" s="6"/>
      <c r="G18" s="6"/>
      <c r="H18" s="6"/>
      <c r="I18" s="6"/>
      <c r="J18" s="6"/>
      <c r="K18" s="6"/>
      <c r="L18" s="6"/>
      <c r="M18" s="6"/>
      <c r="N18" s="6"/>
      <c r="O18" s="6"/>
      <c r="P18" s="6"/>
    </row>
    <row r="19" spans="1:16" x14ac:dyDescent="0.3">
      <c r="A19" s="6"/>
      <c r="B19" s="6"/>
      <c r="C19" s="6"/>
      <c r="D19" s="6"/>
      <c r="E19" s="6"/>
      <c r="F19" s="6"/>
      <c r="G19" s="6"/>
      <c r="H19" s="6"/>
      <c r="I19" s="6"/>
      <c r="J19" s="6"/>
      <c r="K19" s="6"/>
      <c r="L19" s="6"/>
      <c r="M19" s="6"/>
      <c r="N19" s="6"/>
      <c r="O19" s="6"/>
      <c r="P19" s="6"/>
    </row>
    <row r="20" spans="1:16" x14ac:dyDescent="0.3">
      <c r="A20" s="6"/>
      <c r="B20" s="6"/>
      <c r="C20" s="6"/>
      <c r="D20" s="6"/>
      <c r="E20" s="6"/>
      <c r="F20" s="6"/>
      <c r="G20" s="6"/>
      <c r="H20" s="6"/>
      <c r="I20" s="6"/>
      <c r="J20" s="6"/>
      <c r="K20" s="6"/>
      <c r="L20" s="6"/>
      <c r="M20" s="6"/>
      <c r="N20" s="6"/>
      <c r="O20" s="6"/>
      <c r="P20" s="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93535-B8CC-45AD-98E3-B6D7DE5403C3}">
  <dimension ref="A1:U29"/>
  <sheetViews>
    <sheetView zoomScale="81" zoomScaleNormal="25" workbookViewId="0"/>
  </sheetViews>
  <sheetFormatPr defaultRowHeight="14.4" x14ac:dyDescent="0.3"/>
  <sheetData>
    <row r="1" spans="1:21" x14ac:dyDescent="0.3">
      <c r="A1" s="7"/>
      <c r="B1" s="7"/>
      <c r="C1" s="7"/>
      <c r="D1" s="7"/>
      <c r="E1" s="7"/>
      <c r="F1" s="7"/>
      <c r="G1" s="7"/>
      <c r="H1" s="7"/>
      <c r="I1" s="7"/>
      <c r="J1" s="7"/>
      <c r="K1" s="7"/>
      <c r="L1" s="7"/>
      <c r="M1" s="7"/>
      <c r="N1" s="7"/>
      <c r="O1" s="7"/>
      <c r="P1" s="7"/>
      <c r="Q1" s="7"/>
    </row>
    <row r="2" spans="1:21" x14ac:dyDescent="0.3">
      <c r="A2" s="7"/>
      <c r="B2" s="7"/>
      <c r="C2" s="7"/>
      <c r="D2" s="7"/>
      <c r="E2" s="7"/>
      <c r="F2" s="7"/>
      <c r="G2" s="7"/>
      <c r="H2" s="7"/>
      <c r="I2" s="7"/>
      <c r="J2" s="7"/>
      <c r="K2" s="7"/>
      <c r="L2" s="7"/>
      <c r="M2" s="7"/>
      <c r="N2" s="7"/>
      <c r="O2" s="7"/>
      <c r="P2" s="7"/>
      <c r="Q2" s="7"/>
      <c r="R2" s="7"/>
      <c r="S2" s="7"/>
      <c r="T2" s="7"/>
      <c r="U2" s="7"/>
    </row>
    <row r="3" spans="1:21" x14ac:dyDescent="0.3">
      <c r="A3" s="7"/>
      <c r="B3" s="7"/>
      <c r="C3" s="7"/>
      <c r="D3" s="7"/>
      <c r="E3" s="7"/>
      <c r="F3" s="7"/>
      <c r="G3" s="7"/>
      <c r="H3" s="7"/>
      <c r="I3" s="7"/>
      <c r="J3" s="7"/>
      <c r="K3" s="7"/>
      <c r="L3" s="7"/>
      <c r="M3" s="7"/>
      <c r="N3" s="7"/>
      <c r="O3" s="7"/>
      <c r="P3" s="7"/>
      <c r="Q3" s="7"/>
      <c r="R3" s="7"/>
      <c r="S3" s="7"/>
      <c r="T3" s="7"/>
      <c r="U3" s="7"/>
    </row>
    <row r="4" spans="1:21" x14ac:dyDescent="0.3">
      <c r="A4" s="7"/>
      <c r="B4" s="7"/>
      <c r="C4" s="7"/>
      <c r="D4" s="7"/>
      <c r="E4" s="7"/>
      <c r="F4" s="7"/>
      <c r="G4" s="7"/>
      <c r="H4" s="7"/>
      <c r="I4" s="7"/>
      <c r="J4" s="7"/>
      <c r="K4" s="7"/>
      <c r="L4" s="7"/>
      <c r="M4" s="7"/>
      <c r="N4" s="7"/>
      <c r="O4" s="7"/>
      <c r="P4" s="7"/>
      <c r="Q4" s="7"/>
      <c r="R4" s="7"/>
      <c r="S4" s="7"/>
      <c r="T4" s="7"/>
      <c r="U4" s="7"/>
    </row>
    <row r="5" spans="1:21" x14ac:dyDescent="0.3">
      <c r="A5" s="7"/>
      <c r="B5" s="7"/>
      <c r="C5" s="7"/>
      <c r="D5" s="7"/>
      <c r="E5" s="7"/>
      <c r="F5" s="7"/>
      <c r="G5" s="7"/>
      <c r="H5" s="7"/>
      <c r="I5" s="7"/>
      <c r="J5" s="7"/>
      <c r="K5" s="7"/>
      <c r="L5" s="7"/>
      <c r="M5" s="7"/>
      <c r="N5" s="7"/>
      <c r="O5" s="7"/>
      <c r="P5" s="7"/>
      <c r="Q5" s="7"/>
      <c r="R5" s="7"/>
      <c r="S5" s="7"/>
      <c r="T5" s="7"/>
      <c r="U5" s="7"/>
    </row>
    <row r="6" spans="1:21" x14ac:dyDescent="0.3">
      <c r="A6" s="7"/>
      <c r="B6" s="7"/>
      <c r="C6" s="7"/>
      <c r="D6" s="7"/>
      <c r="E6" s="7"/>
      <c r="F6" s="7"/>
      <c r="G6" s="7"/>
      <c r="H6" s="7"/>
      <c r="I6" s="7"/>
      <c r="J6" s="7"/>
      <c r="K6" s="7"/>
      <c r="L6" s="7"/>
      <c r="M6" s="7"/>
      <c r="N6" s="7"/>
      <c r="O6" s="7"/>
      <c r="P6" s="7"/>
      <c r="Q6" s="7"/>
      <c r="R6" s="7"/>
      <c r="S6" s="7"/>
      <c r="T6" s="7"/>
      <c r="U6" s="7"/>
    </row>
    <row r="7" spans="1:21" x14ac:dyDescent="0.3">
      <c r="A7" s="7"/>
      <c r="B7" s="7"/>
      <c r="C7" s="7"/>
      <c r="D7" s="7"/>
      <c r="E7" s="7"/>
      <c r="F7" s="7"/>
      <c r="G7" s="7"/>
      <c r="H7" s="7"/>
      <c r="I7" s="7"/>
      <c r="J7" s="7"/>
      <c r="K7" s="7"/>
      <c r="L7" s="7"/>
      <c r="M7" s="7"/>
      <c r="N7" s="7"/>
      <c r="O7" s="7"/>
      <c r="P7" s="7"/>
      <c r="Q7" s="7"/>
      <c r="R7" s="7"/>
      <c r="S7" s="7"/>
      <c r="T7" s="7"/>
      <c r="U7" s="7"/>
    </row>
    <row r="8" spans="1:21" x14ac:dyDescent="0.3">
      <c r="A8" s="7"/>
      <c r="B8" s="7"/>
      <c r="C8" s="7"/>
      <c r="D8" s="7"/>
      <c r="E8" s="7"/>
      <c r="F8" s="7"/>
      <c r="G8" s="7"/>
      <c r="H8" s="7"/>
      <c r="I8" s="7"/>
      <c r="J8" s="7"/>
      <c r="K8" s="7"/>
      <c r="L8" s="7"/>
      <c r="M8" s="7"/>
      <c r="N8" s="7"/>
      <c r="O8" s="7"/>
      <c r="P8" s="7"/>
      <c r="Q8" s="7"/>
      <c r="R8" s="7"/>
      <c r="S8" s="7"/>
      <c r="T8" s="7"/>
      <c r="U8" s="7"/>
    </row>
    <row r="9" spans="1:21" x14ac:dyDescent="0.3">
      <c r="A9" s="7"/>
      <c r="B9" s="7"/>
      <c r="C9" s="7"/>
      <c r="D9" s="7"/>
      <c r="E9" s="7"/>
      <c r="F9" s="7"/>
      <c r="G9" s="7"/>
      <c r="H9" s="7"/>
      <c r="I9" s="7"/>
      <c r="J9" s="7"/>
      <c r="K9" s="7"/>
      <c r="L9" s="7"/>
      <c r="M9" s="7"/>
      <c r="N9" s="7"/>
      <c r="O9" s="7"/>
      <c r="P9" s="7"/>
      <c r="Q9" s="7"/>
      <c r="R9" s="7"/>
      <c r="S9" s="7"/>
      <c r="T9" s="7"/>
      <c r="U9" s="7"/>
    </row>
    <row r="10" spans="1:21" x14ac:dyDescent="0.3">
      <c r="A10" s="7"/>
      <c r="B10" s="7"/>
      <c r="C10" s="7"/>
      <c r="D10" s="7"/>
      <c r="E10" s="7"/>
      <c r="F10" s="7"/>
      <c r="G10" s="7"/>
      <c r="H10" s="7"/>
      <c r="I10" s="7"/>
      <c r="J10" s="7"/>
      <c r="K10" s="7"/>
      <c r="L10" s="7"/>
      <c r="M10" s="7"/>
      <c r="N10" s="7"/>
      <c r="O10" s="7"/>
      <c r="P10" s="7"/>
      <c r="Q10" s="7"/>
      <c r="R10" s="7"/>
      <c r="S10" s="7"/>
      <c r="T10" s="7"/>
      <c r="U10" s="7"/>
    </row>
    <row r="11" spans="1:21" x14ac:dyDescent="0.3">
      <c r="A11" s="7"/>
      <c r="B11" s="7"/>
      <c r="C11" s="7"/>
      <c r="D11" s="7"/>
      <c r="E11" s="7"/>
      <c r="F11" s="7"/>
      <c r="G11" s="7"/>
      <c r="H11" s="7"/>
      <c r="I11" s="7"/>
      <c r="J11" s="7"/>
      <c r="K11" s="7"/>
      <c r="L11" s="7"/>
      <c r="M11" s="7"/>
      <c r="N11" s="7"/>
      <c r="O11" s="7"/>
      <c r="P11" s="7"/>
      <c r="Q11" s="7"/>
      <c r="R11" s="7"/>
      <c r="S11" s="7"/>
      <c r="T11" s="7"/>
      <c r="U11" s="7"/>
    </row>
    <row r="12" spans="1:21" x14ac:dyDescent="0.3">
      <c r="A12" s="7"/>
      <c r="B12" s="7"/>
      <c r="C12" s="7"/>
      <c r="D12" s="7"/>
      <c r="E12" s="7"/>
      <c r="F12" s="7"/>
      <c r="G12" s="7"/>
      <c r="H12" s="7"/>
      <c r="I12" s="7"/>
      <c r="J12" s="7"/>
      <c r="K12" s="7"/>
      <c r="L12" s="7"/>
      <c r="M12" s="7"/>
      <c r="N12" s="7"/>
      <c r="O12" s="7"/>
      <c r="P12" s="7"/>
      <c r="Q12" s="7"/>
      <c r="R12" s="7"/>
      <c r="S12" s="7"/>
      <c r="T12" s="7"/>
      <c r="U12" s="7"/>
    </row>
    <row r="13" spans="1:21" x14ac:dyDescent="0.3">
      <c r="A13" s="7"/>
      <c r="B13" s="7"/>
      <c r="C13" s="7"/>
      <c r="D13" s="7"/>
      <c r="E13" s="7"/>
      <c r="F13" s="7"/>
      <c r="G13" s="7"/>
      <c r="H13" s="7"/>
      <c r="I13" s="7"/>
      <c r="J13" s="7"/>
      <c r="K13" s="7"/>
      <c r="L13" s="7"/>
      <c r="M13" s="7"/>
      <c r="N13" s="7"/>
      <c r="O13" s="7"/>
      <c r="P13" s="7"/>
      <c r="Q13" s="7"/>
      <c r="R13" s="7"/>
      <c r="S13" s="7"/>
      <c r="T13" s="7"/>
      <c r="U13" s="7"/>
    </row>
    <row r="14" spans="1:21" x14ac:dyDescent="0.3">
      <c r="A14" s="7"/>
      <c r="B14" s="7"/>
      <c r="C14" s="7"/>
      <c r="D14" s="7"/>
      <c r="E14" s="7"/>
      <c r="F14" s="7"/>
      <c r="G14" s="7"/>
      <c r="H14" s="7"/>
      <c r="I14" s="7"/>
      <c r="J14" s="7"/>
      <c r="K14" s="7"/>
      <c r="L14" s="7"/>
      <c r="M14" s="7"/>
      <c r="N14" s="7"/>
      <c r="O14" s="7"/>
      <c r="P14" s="7"/>
      <c r="Q14" s="7"/>
      <c r="R14" s="7"/>
      <c r="S14" s="7"/>
      <c r="T14" s="7"/>
      <c r="U14" s="7"/>
    </row>
    <row r="15" spans="1:21" x14ac:dyDescent="0.3">
      <c r="A15" s="7"/>
      <c r="B15" s="7"/>
      <c r="C15" s="7"/>
      <c r="D15" s="7"/>
      <c r="E15" s="7"/>
      <c r="F15" s="7"/>
      <c r="G15" s="7"/>
      <c r="H15" s="7"/>
      <c r="I15" s="7"/>
      <c r="J15" s="7"/>
      <c r="K15" s="7"/>
      <c r="L15" s="7"/>
      <c r="M15" s="7"/>
      <c r="N15" s="7"/>
      <c r="O15" s="7"/>
      <c r="P15" s="7"/>
      <c r="Q15" s="7"/>
      <c r="R15" s="7"/>
      <c r="S15" s="7"/>
      <c r="T15" s="7"/>
      <c r="U15" s="7"/>
    </row>
    <row r="16" spans="1:21" x14ac:dyDescent="0.3">
      <c r="A16" s="7"/>
      <c r="B16" s="7"/>
      <c r="C16" s="7"/>
      <c r="D16" s="7"/>
      <c r="E16" s="7"/>
      <c r="F16" s="7"/>
      <c r="G16" s="7"/>
      <c r="H16" s="7"/>
      <c r="I16" s="7"/>
      <c r="J16" s="7"/>
      <c r="K16" s="7"/>
      <c r="L16" s="7"/>
      <c r="M16" s="7"/>
      <c r="N16" s="7"/>
      <c r="O16" s="7"/>
      <c r="P16" s="7"/>
      <c r="Q16" s="7"/>
      <c r="R16" s="7"/>
      <c r="S16" s="7"/>
      <c r="T16" s="7"/>
      <c r="U16" s="7"/>
    </row>
    <row r="17" spans="1:21" x14ac:dyDescent="0.3">
      <c r="A17" s="7"/>
      <c r="B17" s="7"/>
      <c r="C17" s="7"/>
      <c r="D17" s="7"/>
      <c r="E17" s="7"/>
      <c r="F17" s="7"/>
      <c r="G17" s="7"/>
      <c r="H17" s="7"/>
      <c r="I17" s="7"/>
      <c r="J17" s="7"/>
      <c r="K17" s="7"/>
      <c r="L17" s="7"/>
      <c r="M17" s="7"/>
      <c r="N17" s="7"/>
      <c r="O17" s="7"/>
      <c r="P17" s="7"/>
      <c r="Q17" s="7"/>
      <c r="R17" s="7"/>
      <c r="S17" s="7"/>
      <c r="T17" s="7"/>
      <c r="U17" s="7"/>
    </row>
    <row r="18" spans="1:21" x14ac:dyDescent="0.3">
      <c r="A18" s="7"/>
      <c r="B18" s="7"/>
      <c r="C18" s="7"/>
      <c r="D18" s="7"/>
      <c r="E18" s="7"/>
      <c r="F18" s="7"/>
      <c r="G18" s="7"/>
      <c r="H18" s="7"/>
      <c r="I18" s="7"/>
      <c r="J18" s="7"/>
      <c r="K18" s="7"/>
      <c r="L18" s="7"/>
      <c r="M18" s="7"/>
      <c r="N18" s="7"/>
      <c r="O18" s="7"/>
      <c r="P18" s="7"/>
      <c r="Q18" s="7"/>
      <c r="R18" s="7"/>
      <c r="S18" s="7"/>
      <c r="T18" s="7"/>
      <c r="U18" s="7"/>
    </row>
    <row r="19" spans="1:21" x14ac:dyDescent="0.3">
      <c r="A19" s="7"/>
      <c r="B19" s="7"/>
      <c r="C19" s="7"/>
      <c r="D19" s="7"/>
      <c r="E19" s="7"/>
      <c r="F19" s="7"/>
      <c r="G19" s="7"/>
      <c r="H19" s="7"/>
      <c r="I19" s="7"/>
      <c r="J19" s="7"/>
      <c r="K19" s="7"/>
      <c r="L19" s="7"/>
      <c r="M19" s="7"/>
      <c r="N19" s="7"/>
      <c r="O19" s="7"/>
      <c r="P19" s="7"/>
      <c r="Q19" s="7"/>
      <c r="R19" s="7"/>
      <c r="S19" s="7"/>
      <c r="T19" s="7"/>
      <c r="U19" s="7"/>
    </row>
    <row r="20" spans="1:21" x14ac:dyDescent="0.3">
      <c r="A20" s="7"/>
      <c r="B20" s="7"/>
      <c r="C20" s="7"/>
      <c r="D20" s="7"/>
      <c r="E20" s="7"/>
      <c r="F20" s="7"/>
      <c r="G20" s="7"/>
      <c r="H20" s="7"/>
      <c r="I20" s="7"/>
      <c r="J20" s="7"/>
      <c r="K20" s="7"/>
      <c r="L20" s="7"/>
      <c r="M20" s="7"/>
      <c r="N20" s="7"/>
      <c r="O20" s="7"/>
      <c r="P20" s="7"/>
      <c r="Q20" s="7"/>
      <c r="R20" s="7"/>
      <c r="S20" s="7"/>
      <c r="T20" s="7"/>
      <c r="U20" s="7"/>
    </row>
    <row r="21" spans="1:21" x14ac:dyDescent="0.3">
      <c r="A21" s="7"/>
      <c r="B21" s="7"/>
      <c r="C21" s="7"/>
      <c r="D21" s="7"/>
      <c r="E21" s="7"/>
      <c r="F21" s="7"/>
      <c r="G21" s="7"/>
      <c r="H21" s="7"/>
      <c r="I21" s="7"/>
      <c r="J21" s="7"/>
      <c r="K21" s="7"/>
      <c r="L21" s="7"/>
      <c r="M21" s="7"/>
      <c r="N21" s="7"/>
      <c r="O21" s="7"/>
      <c r="P21" s="7"/>
      <c r="Q21" s="7"/>
      <c r="R21" s="7"/>
      <c r="S21" s="7"/>
      <c r="T21" s="7"/>
      <c r="U21" s="7"/>
    </row>
    <row r="22" spans="1:21" x14ac:dyDescent="0.3">
      <c r="A22" s="7"/>
      <c r="B22" s="7"/>
      <c r="C22" s="7"/>
      <c r="D22" s="7"/>
      <c r="E22" s="7"/>
      <c r="F22" s="7"/>
      <c r="G22" s="7"/>
      <c r="H22" s="7"/>
      <c r="I22" s="7"/>
      <c r="J22" s="7"/>
      <c r="K22" s="7"/>
      <c r="L22" s="7"/>
      <c r="M22" s="7"/>
      <c r="N22" s="7"/>
      <c r="O22" s="7"/>
      <c r="P22" s="7"/>
      <c r="Q22" s="7"/>
      <c r="R22" s="7"/>
      <c r="S22" s="7"/>
      <c r="T22" s="7"/>
      <c r="U22" s="7"/>
    </row>
    <row r="23" spans="1:21" x14ac:dyDescent="0.3">
      <c r="A23" s="7"/>
      <c r="B23" s="7"/>
      <c r="C23" s="7"/>
      <c r="D23" s="7"/>
      <c r="E23" s="7"/>
      <c r="F23" s="7"/>
      <c r="G23" s="7"/>
      <c r="H23" s="7"/>
      <c r="I23" s="7"/>
      <c r="J23" s="7"/>
      <c r="K23" s="7"/>
      <c r="L23" s="7"/>
      <c r="M23" s="7"/>
      <c r="N23" s="7"/>
      <c r="O23" s="7"/>
      <c r="P23" s="7"/>
      <c r="Q23" s="7"/>
      <c r="R23" s="7"/>
      <c r="S23" s="7"/>
      <c r="T23" s="7"/>
      <c r="U23" s="7"/>
    </row>
    <row r="24" spans="1:21" x14ac:dyDescent="0.3">
      <c r="A24" s="7"/>
      <c r="B24" s="7"/>
      <c r="C24" s="7"/>
      <c r="D24" s="7"/>
      <c r="E24" s="7"/>
      <c r="F24" s="7"/>
      <c r="G24" s="7"/>
      <c r="H24" s="7"/>
      <c r="I24" s="7"/>
      <c r="J24" s="7"/>
      <c r="K24" s="7"/>
      <c r="L24" s="7"/>
      <c r="M24" s="7"/>
      <c r="N24" s="7"/>
      <c r="O24" s="7"/>
      <c r="P24" s="7"/>
      <c r="Q24" s="7"/>
      <c r="R24" s="7"/>
      <c r="S24" s="7"/>
      <c r="T24" s="7"/>
      <c r="U24" s="7"/>
    </row>
    <row r="25" spans="1:21" x14ac:dyDescent="0.3">
      <c r="A25" s="7"/>
      <c r="B25" s="7"/>
      <c r="C25" s="7"/>
      <c r="D25" s="7"/>
      <c r="E25" s="7"/>
      <c r="F25" s="7"/>
      <c r="G25" s="7"/>
      <c r="H25" s="7"/>
      <c r="I25" s="7"/>
      <c r="J25" s="7"/>
      <c r="K25" s="7"/>
      <c r="L25" s="7"/>
      <c r="M25" s="7"/>
      <c r="N25" s="7"/>
      <c r="O25" s="7"/>
      <c r="P25" s="7"/>
      <c r="Q25" s="7"/>
      <c r="R25" s="7"/>
      <c r="S25" s="7"/>
      <c r="T25" s="7"/>
      <c r="U25" s="7"/>
    </row>
    <row r="26" spans="1:21" x14ac:dyDescent="0.3">
      <c r="A26" s="7"/>
      <c r="B26" s="7"/>
      <c r="C26" s="7"/>
      <c r="D26" s="7"/>
      <c r="E26" s="7"/>
      <c r="F26" s="7" t="s">
        <v>7</v>
      </c>
      <c r="G26" s="7"/>
      <c r="H26" s="7"/>
      <c r="I26" s="7"/>
      <c r="J26" s="7"/>
      <c r="K26" s="7"/>
      <c r="L26" s="7"/>
      <c r="M26" s="7"/>
      <c r="N26" s="7"/>
      <c r="O26" s="7"/>
      <c r="P26" s="7"/>
      <c r="Q26" s="7"/>
      <c r="R26" s="7"/>
      <c r="S26" s="7"/>
      <c r="T26" s="7"/>
      <c r="U26" s="7"/>
    </row>
    <row r="27" spans="1:21" x14ac:dyDescent="0.3">
      <c r="A27" s="7"/>
      <c r="B27" s="7"/>
      <c r="C27" s="7"/>
      <c r="D27" s="7"/>
      <c r="E27" s="7"/>
      <c r="F27" s="7"/>
      <c r="G27" s="7"/>
      <c r="H27" s="7"/>
      <c r="I27" s="7"/>
      <c r="J27" s="7"/>
      <c r="K27" s="7"/>
      <c r="L27" s="7"/>
      <c r="M27" s="7"/>
      <c r="N27" s="7"/>
      <c r="O27" s="7"/>
      <c r="P27" s="7"/>
      <c r="Q27" s="7"/>
      <c r="R27" s="7"/>
      <c r="S27" s="7"/>
      <c r="T27" s="7"/>
      <c r="U27" s="7"/>
    </row>
    <row r="28" spans="1:21" x14ac:dyDescent="0.3">
      <c r="A28" s="7"/>
      <c r="B28" s="7"/>
      <c r="C28" s="7"/>
      <c r="D28" s="7"/>
      <c r="E28" s="7"/>
      <c r="F28" s="7"/>
      <c r="G28" s="7"/>
      <c r="H28" s="7"/>
      <c r="I28" s="7"/>
      <c r="J28" s="7"/>
      <c r="K28" s="7"/>
      <c r="L28" s="7"/>
      <c r="M28" s="7"/>
      <c r="N28" s="7"/>
      <c r="O28" s="7"/>
      <c r="P28" s="7"/>
      <c r="Q28" s="7"/>
      <c r="R28" s="7"/>
      <c r="S28" s="7"/>
      <c r="T28" s="7"/>
      <c r="U28" s="7"/>
    </row>
    <row r="29" spans="1:21" x14ac:dyDescent="0.3">
      <c r="A29" s="7"/>
      <c r="B29" s="7"/>
      <c r="C29" s="7"/>
      <c r="D29" s="7"/>
      <c r="E29" s="7"/>
      <c r="F29" s="7"/>
      <c r="G29" s="7"/>
      <c r="H29" s="7"/>
      <c r="I29" s="7"/>
      <c r="J29" s="7"/>
      <c r="K29" s="7"/>
      <c r="L29" s="7"/>
      <c r="M29" s="7"/>
      <c r="N29" s="7"/>
      <c r="O29" s="7"/>
      <c r="P29" s="7"/>
      <c r="Q29" s="7"/>
      <c r="R29" s="7"/>
      <c r="S29" s="7"/>
      <c r="T29" s="7"/>
      <c r="U29"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F36895C-63E1-4072-AEC2-1C97812834CF}">
  <ds:schemaRefs/>
</ds:datastoreItem>
</file>

<file path=customXml/itemProps2.xml><?xml version="1.0" encoding="utf-8"?>
<ds:datastoreItem xmlns:ds="http://schemas.openxmlformats.org/officeDocument/2006/customXml" ds:itemID="{82E3B978-FDB3-478A-94F3-2EA8967567CB}">
  <ds:schemaRefs/>
</ds:datastoreItem>
</file>

<file path=customXml/itemProps3.xml><?xml version="1.0" encoding="utf-8"?>
<ds:datastoreItem xmlns:ds="http://schemas.openxmlformats.org/officeDocument/2006/customXml" ds:itemID="{4D178C3F-3DCD-40AF-B5C5-BD0F86FB7F16}">
  <ds:schemaRefs/>
</ds:datastoreItem>
</file>

<file path=customXml/itemProps4.xml><?xml version="1.0" encoding="utf-8"?>
<ds:datastoreItem xmlns:ds="http://schemas.openxmlformats.org/officeDocument/2006/customXml" ds:itemID="{D439B64D-6841-49C1-953C-86E1CA90E0ED}">
  <ds:schemaRefs>
    <ds:schemaRef ds:uri="http://schemas.microsoft.com/DataMashup"/>
  </ds:schemaRefs>
</ds:datastoreItem>
</file>

<file path=customXml/itemProps5.xml><?xml version="1.0" encoding="utf-8"?>
<ds:datastoreItem xmlns:ds="http://schemas.openxmlformats.org/officeDocument/2006/customXml" ds:itemID="{18A08634-3D5D-461C-A14E-E49A1069C9A0}">
  <ds:schemaRefs/>
</ds:datastoreItem>
</file>

<file path=customXml/itemProps6.xml><?xml version="1.0" encoding="utf-8"?>
<ds:datastoreItem xmlns:ds="http://schemas.openxmlformats.org/officeDocument/2006/customXml" ds:itemID="{17D47677-0112-4797-A395-49EF305B43C3}">
  <ds:schemaRefs/>
</ds:datastoreItem>
</file>

<file path=customXml/itemProps7.xml><?xml version="1.0" encoding="utf-8"?>
<ds:datastoreItem xmlns:ds="http://schemas.openxmlformats.org/officeDocument/2006/customXml" ds:itemID="{A3C383EB-4FAB-4605-9928-41F8D85F772C}">
  <ds:schemaRefs/>
</ds:datastoreItem>
</file>

<file path=customXml/itemProps8.xml><?xml version="1.0" encoding="utf-8"?>
<ds:datastoreItem xmlns:ds="http://schemas.openxmlformats.org/officeDocument/2006/customXml" ds:itemID="{2AAB72E8-3CBC-4853-9F30-D2CA62822F01}">
  <ds:schemaRefs/>
</ds:datastoreItem>
</file>

<file path=customXml/itemProps9.xml><?xml version="1.0" encoding="utf-8"?>
<ds:datastoreItem xmlns:ds="http://schemas.openxmlformats.org/officeDocument/2006/customXml" ds:itemID="{259055BD-4741-4562-BD5C-33FC38335975}">
  <ds:schemaRefs/>
</ds:datastoreItem>
</file>

<file path=customXml/itemProps10.xml><?xml version="1.0" encoding="utf-8"?>
<ds:datastoreItem xmlns:ds="http://schemas.openxmlformats.org/officeDocument/2006/customXml" ds:itemID="{9F77E648-B92E-4249-9165-57E511FF3B45}">
  <ds:schemaRefs/>
</ds:datastoreItem>
</file>

<file path=customXml/itemProps11.xml><?xml version="1.0" encoding="utf-8"?>
<ds:datastoreItem xmlns:ds="http://schemas.openxmlformats.org/officeDocument/2006/customXml" ds:itemID="{0E9792AF-188A-49B5-91A5-4B734F2DC5A0}">
  <ds:schemaRefs/>
</ds:datastoreItem>
</file>

<file path=customXml/itemProps12.xml><?xml version="1.0" encoding="utf-8"?>
<ds:datastoreItem xmlns:ds="http://schemas.openxmlformats.org/officeDocument/2006/customXml" ds:itemID="{F86FDABA-F73D-4195-9B6F-BA2B8A0089F7}">
  <ds:schemaRefs/>
</ds:datastoreItem>
</file>

<file path=customXml/itemProps13.xml><?xml version="1.0" encoding="utf-8"?>
<ds:datastoreItem xmlns:ds="http://schemas.openxmlformats.org/officeDocument/2006/customXml" ds:itemID="{E37FECB5-F6E2-4CE3-8519-D60F488D6262}">
  <ds:schemaRefs/>
</ds:datastoreItem>
</file>

<file path=customXml/itemProps14.xml><?xml version="1.0" encoding="utf-8"?>
<ds:datastoreItem xmlns:ds="http://schemas.openxmlformats.org/officeDocument/2006/customXml" ds:itemID="{4992A7DF-7884-4524-877B-DDAE0E452158}">
  <ds:schemaRefs/>
</ds:datastoreItem>
</file>

<file path=customXml/itemProps15.xml><?xml version="1.0" encoding="utf-8"?>
<ds:datastoreItem xmlns:ds="http://schemas.openxmlformats.org/officeDocument/2006/customXml" ds:itemID="{486588EF-0747-4510-B095-3A1DB6434E41}">
  <ds:schemaRefs/>
</ds:datastoreItem>
</file>

<file path=customXml/itemProps16.xml><?xml version="1.0" encoding="utf-8"?>
<ds:datastoreItem xmlns:ds="http://schemas.openxmlformats.org/officeDocument/2006/customXml" ds:itemID="{C148FDD7-21B1-4411-99E7-4AA0D431422E}">
  <ds:schemaRefs/>
</ds:datastoreItem>
</file>

<file path=customXml/itemProps17.xml><?xml version="1.0" encoding="utf-8"?>
<ds:datastoreItem xmlns:ds="http://schemas.openxmlformats.org/officeDocument/2006/customXml" ds:itemID="{32ED6396-7F0E-4519-B3E6-27DEB18D557A}">
  <ds:schemaRefs/>
</ds:datastoreItem>
</file>

<file path=customXml/itemProps18.xml><?xml version="1.0" encoding="utf-8"?>
<ds:datastoreItem xmlns:ds="http://schemas.openxmlformats.org/officeDocument/2006/customXml" ds:itemID="{B6E69427-1D34-470F-B3AA-884B4549E55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Sheet5</vt:lpstr>
      <vt:lpstr>PIVOTE REPORT</vt:lpstr>
      <vt:lpstr>DASHBOARD</vt:lpstr>
      <vt:lpstr>Satisfaction score  chart</vt:lpstr>
      <vt:lpstr>ER ROOM NO OF PATIENT</vt:lpstr>
      <vt:lpstr>AVG WAITTIME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mishra</dc:creator>
  <cp:lastModifiedBy>iamharshu2021@outlook.com</cp:lastModifiedBy>
  <dcterms:created xsi:type="dcterms:W3CDTF">2026-10-23T03:49:27Z</dcterms:created>
  <dcterms:modified xsi:type="dcterms:W3CDTF">2026-10-23T14:20:36Z</dcterms:modified>
</cp:coreProperties>
</file>